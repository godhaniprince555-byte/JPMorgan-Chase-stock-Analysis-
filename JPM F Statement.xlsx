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FA Project\"/>
    </mc:Choice>
  </mc:AlternateContent>
  <xr:revisionPtr revIDLastSave="0" documentId="13_ncr:1_{9BFD7DCE-1851-476B-BB9E-0CF6011E10D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come Statement" sheetId="1" r:id="rId1"/>
    <sheet name="Balance Sheet" sheetId="2" r:id="rId2"/>
    <sheet name="Cash Flow Statem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3" l="1"/>
  <c r="C46" i="3"/>
  <c r="B46" i="3"/>
  <c r="D32" i="3"/>
  <c r="C32" i="3"/>
  <c r="B32" i="3"/>
  <c r="D19" i="3"/>
  <c r="C19" i="3"/>
  <c r="B19" i="3"/>
  <c r="D42" i="2"/>
  <c r="D43" i="2" s="1"/>
  <c r="C42" i="2"/>
  <c r="B42" i="2"/>
  <c r="D33" i="2"/>
  <c r="C33" i="2"/>
  <c r="B33" i="2"/>
  <c r="B43" i="2" s="1"/>
  <c r="B22" i="2"/>
  <c r="D17" i="2"/>
  <c r="D22" i="2" s="1"/>
  <c r="C17" i="2"/>
  <c r="B17" i="2"/>
  <c r="D14" i="2"/>
  <c r="C14" i="2"/>
  <c r="B14" i="2"/>
  <c r="D26" i="1"/>
  <c r="C26" i="1"/>
  <c r="B26" i="1"/>
  <c r="D15" i="1"/>
  <c r="C15" i="1"/>
  <c r="B15" i="1"/>
  <c r="D12" i="1"/>
  <c r="D16" i="1" s="1"/>
  <c r="D27" i="1" s="1"/>
  <c r="D29" i="1" s="1"/>
  <c r="C12" i="1"/>
  <c r="C16" i="1" s="1"/>
  <c r="C27" i="1" s="1"/>
  <c r="C29" i="1" s="1"/>
  <c r="B12" i="1"/>
  <c r="B16" i="1" s="1"/>
  <c r="B27" i="1" s="1"/>
  <c r="B29" i="1" s="1"/>
  <c r="C22" i="2" l="1"/>
  <c r="C4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3" authorId="0" shapeId="0" xr:uid="{76AEB21D-E5B8-4F0A-8778-E5EA23A9EC60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Investment banking fees</t>
        </r>
      </text>
    </comment>
    <comment ref="C3" authorId="0" shapeId="0" xr:uid="{87537655-B522-49D9-9A77-E92DEC938E7B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Investment banking fees</t>
        </r>
      </text>
    </comment>
    <comment ref="D3" authorId="0" shapeId="0" xr:uid="{3DA07452-A22C-417F-A23E-B9587B249199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Investment banking fees</t>
        </r>
      </text>
    </comment>
    <comment ref="B4" authorId="0" shapeId="0" xr:uid="{F8595972-C557-4EE5-A518-7A3FACE1EB05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Principal transactions</t>
        </r>
      </text>
    </comment>
    <comment ref="C4" authorId="0" shapeId="0" xr:uid="{94A0DC9A-E40E-4BF8-86C0-240E425482E9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Principal transactions</t>
        </r>
      </text>
    </comment>
    <comment ref="D4" authorId="0" shapeId="0" xr:uid="{D316457F-6BBC-47A6-93D7-2269C0B43E35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Principal transactions</t>
        </r>
      </text>
    </comment>
    <comment ref="B5" authorId="0" shapeId="0" xr:uid="{3957EBC1-A9FA-4A1E-A693-A412C5EAEDE5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Lending- and deposit-related fees</t>
        </r>
      </text>
    </comment>
    <comment ref="C5" authorId="0" shapeId="0" xr:uid="{5405EB30-8DAB-4080-B611-D3CC911E47C4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Lending- and deposit-related fees</t>
        </r>
      </text>
    </comment>
    <comment ref="D5" authorId="0" shapeId="0" xr:uid="{956129D3-BC94-49D5-9D55-614E9BC9627E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Lending- and deposit-related fees</t>
        </r>
      </text>
    </comment>
    <comment ref="B6" authorId="0" shapeId="0" xr:uid="{F00453FF-300E-4F6E-B4F0-545ED1ACBB2B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Asset management fees</t>
        </r>
      </text>
    </comment>
    <comment ref="C6" authorId="0" shapeId="0" xr:uid="{698087AC-8E12-4ABF-A427-3AFC19636E60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Asset management fees</t>
        </r>
      </text>
    </comment>
    <comment ref="D6" authorId="0" shapeId="0" xr:uid="{E3DC76FB-96DF-41DB-9787-575CD1AABE74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Asset management fees</t>
        </r>
      </text>
    </comment>
    <comment ref="B7" authorId="0" shapeId="0" xr:uid="{D37DCFA6-5D70-48DB-BB8E-76930FF7B12B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Commissions and other fees</t>
        </r>
      </text>
    </comment>
    <comment ref="C7" authorId="0" shapeId="0" xr:uid="{B84775D6-0F43-4C19-BEFB-F242C33379C5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Commissions and other fees</t>
        </r>
      </text>
    </comment>
    <comment ref="D7" authorId="0" shapeId="0" xr:uid="{4C8C91A9-2E2B-4A0B-B340-2309459E5E1B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Commissions and other fees</t>
        </r>
      </text>
    </comment>
    <comment ref="B8" authorId="0" shapeId="0" xr:uid="{4A462CF0-C7D2-4344-BDBE-4BDCFFA66350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Investment securities losses</t>
        </r>
      </text>
    </comment>
    <comment ref="C8" authorId="0" shapeId="0" xr:uid="{AEA47EE5-99AF-4037-8726-35AE882B56D8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Investment securities losses</t>
        </r>
      </text>
    </comment>
    <comment ref="D8" authorId="0" shapeId="0" xr:uid="{4EA1E845-3952-4FD0-88D7-9669DA18C274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Investment securities losses</t>
        </r>
      </text>
    </comment>
    <comment ref="B9" authorId="0" shapeId="0" xr:uid="{BA4A22C3-03A7-4673-BED6-0C72C698858A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Mortgage fees and related income</t>
        </r>
      </text>
    </comment>
    <comment ref="C9" authorId="0" shapeId="0" xr:uid="{95EF97C0-BF70-488A-8EC2-F217E41ECD21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Mortgage fees and related income</t>
        </r>
      </text>
    </comment>
    <comment ref="D9" authorId="0" shapeId="0" xr:uid="{69896A5E-0FD6-4AE7-A973-1BBA1BC6B47F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Mortgage fees and related income</t>
        </r>
      </text>
    </comment>
    <comment ref="B10" authorId="0" shapeId="0" xr:uid="{B35B2314-4DC6-4E00-8B7D-51BB8A41E11E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Card income</t>
        </r>
      </text>
    </comment>
    <comment ref="C10" authorId="0" shapeId="0" xr:uid="{08CC3B13-7E95-4ECB-9C36-6105641C4D2F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Card income</t>
        </r>
      </text>
    </comment>
    <comment ref="D10" authorId="0" shapeId="0" xr:uid="{C4781114-224E-4718-86BE-C49FDAC2014E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Card income</t>
        </r>
      </text>
    </comment>
    <comment ref="B11" authorId="0" shapeId="0" xr:uid="{2CADB581-4B15-4BA6-8A70-B5BB1E42C8FB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Other income</t>
        </r>
      </text>
    </comment>
    <comment ref="C11" authorId="0" shapeId="0" xr:uid="{82D10F31-0B3B-45C6-A648-30CFD22CAC92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Other income</t>
        </r>
      </text>
    </comment>
    <comment ref="D11" authorId="0" shapeId="0" xr:uid="{F192A5D4-8D13-461B-A4CA-7A8B0EA23845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Sheet reference: Page 4
Line item: Other income</t>
        </r>
      </text>
    </comment>
    <comment ref="B13" authorId="0" shapeId="0" xr:uid="{4E9CBCF7-61B1-45AF-A394-D6FC3DC95D31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Interest income</t>
        </r>
      </text>
    </comment>
    <comment ref="C13" authorId="0" shapeId="0" xr:uid="{A6DFB097-9DAE-4F33-A3D7-1018E898F3B0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Interest income</t>
        </r>
      </text>
    </comment>
    <comment ref="D13" authorId="0" shapeId="0" xr:uid="{AEAE0963-07DF-4A67-ADB1-42B258BF69BD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Interest income</t>
        </r>
      </text>
    </comment>
    <comment ref="B14" authorId="0" shapeId="0" xr:uid="{0F70241A-6DB9-4239-B061-44AC7155B4C9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Interest expense</t>
        </r>
      </text>
    </comment>
    <comment ref="C14" authorId="0" shapeId="0" xr:uid="{4098CCE5-9BE8-4232-9FAB-A79A39D7E917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Interest expense</t>
        </r>
      </text>
    </comment>
    <comment ref="D14" authorId="0" shapeId="0" xr:uid="{2557D225-7B8A-4C60-A6F5-A9D5E809F310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Interest expense</t>
        </r>
      </text>
    </comment>
    <comment ref="B15" authorId="0" shapeId="0" xr:uid="{66F3FA3F-BCBA-4CA3-BE1E-F91CD35CCFCF}">
      <text>
        <r>
          <rPr>
            <sz val="11"/>
            <color theme="1"/>
            <rFont val="Calibri"/>
            <family val="2"/>
            <scheme val="minor"/>
          </rPr>
          <t>Calculated from interest income less interest expense.</t>
        </r>
      </text>
    </comment>
    <comment ref="C15" authorId="0" shapeId="0" xr:uid="{2CA2C1BD-B2F3-4F09-82AC-8E17612AE977}">
      <text>
        <r>
          <rPr>
            <sz val="11"/>
            <color theme="1"/>
            <rFont val="Calibri"/>
            <family val="2"/>
            <scheme val="minor"/>
          </rPr>
          <t>Calculated from interest income less interest expense.</t>
        </r>
      </text>
    </comment>
    <comment ref="D15" authorId="0" shapeId="0" xr:uid="{5DF83EE2-8AF6-49A2-A281-79F93F6B026E}">
      <text>
        <r>
          <rPr>
            <sz val="11"/>
            <color theme="1"/>
            <rFont val="Calibri"/>
            <family val="2"/>
            <scheme val="minor"/>
          </rPr>
          <t>Calculated from interest income less interest expense.</t>
        </r>
      </text>
    </comment>
    <comment ref="B18" authorId="0" shapeId="0" xr:uid="{6FE0ED32-DBC3-46A0-8196-443D496C5530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Provision for credit losses</t>
        </r>
      </text>
    </comment>
    <comment ref="C18" authorId="0" shapeId="0" xr:uid="{34D3156E-5017-4CC5-BD7B-7ADE3FA4ED37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Provision for credit losses</t>
        </r>
      </text>
    </comment>
    <comment ref="D18" authorId="0" shapeId="0" xr:uid="{6A4E63C2-4C87-4E07-9405-817F1BF93677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Provision for credit losses</t>
        </r>
      </text>
    </comment>
    <comment ref="B20" authorId="0" shapeId="0" xr:uid="{2FFB7EDF-266E-489C-B4CA-5AE3AD204472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Compensation expense</t>
        </r>
      </text>
    </comment>
    <comment ref="C20" authorId="0" shapeId="0" xr:uid="{4A0D53F9-680B-4844-B74A-A608E4EB7076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Compensation expense</t>
        </r>
      </text>
    </comment>
    <comment ref="D20" authorId="0" shapeId="0" xr:uid="{A4B8B1EE-5A4E-4F62-8A28-BF34112027A5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Compensation expense</t>
        </r>
      </text>
    </comment>
    <comment ref="B21" authorId="0" shapeId="0" xr:uid="{5AADCF58-B6FF-45DC-9D9C-FD01F882E4EE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Occupancy expense</t>
        </r>
      </text>
    </comment>
    <comment ref="C21" authorId="0" shapeId="0" xr:uid="{DDD1E02E-558C-4A6B-A957-88480E1BECB4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Occupancy expense</t>
        </r>
      </text>
    </comment>
    <comment ref="D21" authorId="0" shapeId="0" xr:uid="{7CD2CC0F-1225-41B6-94D0-4AC641C1B8A3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Occupancy expense</t>
        </r>
      </text>
    </comment>
    <comment ref="B22" authorId="0" shapeId="0" xr:uid="{D34EE1BB-77C4-413E-9582-EDE801F5B661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Technology, communications and equipment expense</t>
        </r>
      </text>
    </comment>
    <comment ref="C22" authorId="0" shapeId="0" xr:uid="{132E23EA-BFB1-4A04-89E3-7CF9AF634B51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Technology, communications and equipment expense</t>
        </r>
      </text>
    </comment>
    <comment ref="D22" authorId="0" shapeId="0" xr:uid="{1B38459E-7C6C-47DD-BA38-DC18E0B1E632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Technology, communications and equipment expense</t>
        </r>
      </text>
    </comment>
    <comment ref="B23" authorId="0" shapeId="0" xr:uid="{23DFA423-1D12-4540-9A8F-6167475900E2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Professional and outside services</t>
        </r>
      </text>
    </comment>
    <comment ref="C23" authorId="0" shapeId="0" xr:uid="{DA1AC97E-97BB-4612-9E45-658DB03B1B50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Professional and outside services</t>
        </r>
      </text>
    </comment>
    <comment ref="D23" authorId="0" shapeId="0" xr:uid="{5237FA39-D3FB-4499-8D68-C49B4158E8F6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Professional and outside services</t>
        </r>
      </text>
    </comment>
    <comment ref="B24" authorId="0" shapeId="0" xr:uid="{C2F287F7-35B5-4B33-8AD7-3FAD2308AC5A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Marketing</t>
        </r>
      </text>
    </comment>
    <comment ref="C24" authorId="0" shapeId="0" xr:uid="{1F83A574-E78E-4937-A1DA-5256B152DDA1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Marketing</t>
        </r>
      </text>
    </comment>
    <comment ref="D24" authorId="0" shapeId="0" xr:uid="{8B8E1DF6-8525-44D1-B5B2-F5DE93E0D27B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Marketing</t>
        </r>
      </text>
    </comment>
    <comment ref="B25" authorId="0" shapeId="0" xr:uid="{5A1C1B2F-11A4-453A-A6E5-177C583AFCAF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Other expense</t>
        </r>
      </text>
    </comment>
    <comment ref="C25" authorId="0" shapeId="0" xr:uid="{15C03666-0E2D-49C8-95C3-E9FB73F89BBD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Other expense</t>
        </r>
      </text>
    </comment>
    <comment ref="D25" authorId="0" shapeId="0" xr:uid="{DF7C7003-09A4-4378-9FE2-CAFEDC6D0CB4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Other expense</t>
        </r>
      </text>
    </comment>
    <comment ref="B28" authorId="0" shapeId="0" xr:uid="{202336AE-0CCF-44E9-BD70-E33FF1B9116A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Income tax expense</t>
        </r>
      </text>
    </comment>
    <comment ref="C28" authorId="0" shapeId="0" xr:uid="{DD457667-5B3C-4DAA-919A-E310B1CFBE74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Income tax expense</t>
        </r>
      </text>
    </comment>
    <comment ref="D28" authorId="0" shapeId="0" xr:uid="{73A1B720-BDAF-487E-BE49-BAA00749F63B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Income tax expense</t>
        </r>
      </text>
    </comment>
    <comment ref="B31" authorId="0" shapeId="0" xr:uid="{6D1ECC43-D9D7-4C64-B54B-4F160B32D0FA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Basic earnings per share</t>
        </r>
      </text>
    </comment>
    <comment ref="C31" authorId="0" shapeId="0" xr:uid="{1EEE2820-D4C2-49D1-841F-304F2FC26CD7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Basic earnings per share</t>
        </r>
      </text>
    </comment>
    <comment ref="D31" authorId="0" shapeId="0" xr:uid="{E44BE0CD-2FC6-49F6-A4DB-0B87CB1D7127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Basic earnings per share</t>
        </r>
      </text>
    </comment>
    <comment ref="B32" authorId="0" shapeId="0" xr:uid="{1AA44175-B656-4DC2-8C21-6AB945807A10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Diluted earnings per share</t>
        </r>
      </text>
    </comment>
    <comment ref="C32" authorId="0" shapeId="0" xr:uid="{C7E82295-D000-43ED-B593-10A8BCEE66EA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Diluted earnings per share</t>
        </r>
      </text>
    </comment>
    <comment ref="D32" authorId="0" shapeId="0" xr:uid="{3BDAEA29-C282-4FDD-95E4-2101A2923BCA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Line item: Diluted earnings per share</t>
        </r>
      </text>
    </comment>
    <comment ref="B34" authorId="0" shapeId="0" xr:uid="{26AF8CC9-A4D6-40C9-83B9-F1E93381E19E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Reported ratio: Return on common equity</t>
        </r>
      </text>
    </comment>
    <comment ref="C34" authorId="0" shapeId="0" xr:uid="{0B9B1A69-5362-4FD6-8FE5-C5C5B3DB4E88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Reported ratio: Return on common equity</t>
        </r>
      </text>
    </comment>
    <comment ref="D34" authorId="0" shapeId="0" xr:uid="{C1509D9B-5910-4DDF-BA82-678268CCBFE8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Reported ratio: Return on common equity</t>
        </r>
      </text>
    </comment>
    <comment ref="B35" authorId="0" shapeId="0" xr:uid="{1803522C-5250-4414-BD07-38C32A1A19E4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Reported ratio: Return on tangible common equity</t>
        </r>
      </text>
    </comment>
    <comment ref="C35" authorId="0" shapeId="0" xr:uid="{A544F75E-A9BA-49F5-A377-1E71769073C9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Reported ratio: Return on tangible common equity</t>
        </r>
      </text>
    </comment>
    <comment ref="D35" authorId="0" shapeId="0" xr:uid="{10A36C5A-FFDE-4CD5-BBEA-2EF3CE401A1B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Reported ratio: Return on tangible common equity</t>
        </r>
      </text>
    </comment>
    <comment ref="B36" authorId="0" shapeId="0" xr:uid="{D37D7DAE-C2DD-4C29-8598-38DEFAB41083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Reported ratio: Return on assets</t>
        </r>
      </text>
    </comment>
    <comment ref="C36" authorId="0" shapeId="0" xr:uid="{CD5C9800-7DD7-49BC-B5DD-6536FF3DFC9E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Reported ratio: Return on assets</t>
        </r>
      </text>
    </comment>
    <comment ref="D36" authorId="0" shapeId="0" xr:uid="{465EF09C-DBEE-4F23-88EA-50505156CC7E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Reported ratio: Return on assets</t>
        </r>
      </text>
    </comment>
    <comment ref="B37" authorId="0" shapeId="0" xr:uid="{2021D720-59BE-4FA1-804B-77FCB911ABB9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Reported ratio: Overhead ratio</t>
        </r>
      </text>
    </comment>
    <comment ref="C37" authorId="0" shapeId="0" xr:uid="{9993F9FF-BF66-4ACF-A0A5-C7EE0EB358DA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Reported ratio: Overhead ratio</t>
        </r>
      </text>
    </comment>
    <comment ref="D37" authorId="0" shapeId="0" xr:uid="{BDF50A3B-4FDE-4209-943A-A94160A40D14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4
Reported ratio: Overhead ratio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4" authorId="0" shapeId="0" xr:uid="{3F6B7E26-FF35-40D5-A254-1D9B613DBAEF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Cash and due from banks</t>
        </r>
      </text>
    </comment>
    <comment ref="C4" authorId="0" shapeId="0" xr:uid="{D26A746B-CCF4-4B5D-98A1-01348607A5C4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Cash and due from banks</t>
        </r>
      </text>
    </comment>
    <comment ref="D4" authorId="0" shapeId="0" xr:uid="{143387DD-3CC3-4178-8C77-ADF34BC243D7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Cash and due from banks</t>
        </r>
      </text>
    </comment>
    <comment ref="B5" authorId="0" shapeId="0" xr:uid="{574A38DD-2544-4970-A617-D9BBA5732807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Deposits with banks</t>
        </r>
      </text>
    </comment>
    <comment ref="C5" authorId="0" shapeId="0" xr:uid="{6EE0BDE4-51B4-48C4-9F05-00B1F177001F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Deposits with banks</t>
        </r>
      </text>
    </comment>
    <comment ref="D5" authorId="0" shapeId="0" xr:uid="{B06222D9-68A4-4C52-BFA8-A6E42DBE7FED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Deposits with banks</t>
        </r>
      </text>
    </comment>
    <comment ref="B6" authorId="0" shapeId="0" xr:uid="{829A190B-50BA-47DB-ABEE-7AD775F17A4B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Federal funds sold and securities purchased under resale agreements</t>
        </r>
      </text>
    </comment>
    <comment ref="C6" authorId="0" shapeId="0" xr:uid="{7340AF3F-22E1-463C-857C-CBE49DEF32ED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Federal funds sold and securities purchased under resale agreements</t>
        </r>
      </text>
    </comment>
    <comment ref="D6" authorId="0" shapeId="0" xr:uid="{9A7B5073-EF8A-4EA2-BA34-7398408CB67F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Federal funds sold and securities purchased under resale agreements</t>
        </r>
      </text>
    </comment>
    <comment ref="B7" authorId="0" shapeId="0" xr:uid="{9BF5516E-B3BF-44DA-AE4D-7795840DC78D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Securities borrowed</t>
        </r>
      </text>
    </comment>
    <comment ref="C7" authorId="0" shapeId="0" xr:uid="{D4C920AE-C47D-4DAD-8C29-AFA6A800216C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Securities borrowed</t>
        </r>
      </text>
    </comment>
    <comment ref="D7" authorId="0" shapeId="0" xr:uid="{25ED46EC-2516-4A28-98A4-F73A20184B08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Securities borrowed</t>
        </r>
      </text>
    </comment>
    <comment ref="B9" authorId="0" shapeId="0" xr:uid="{1C861688-5387-4C69-8F5B-D0DC76F71B5C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Trading assets - Debt and equity instruments</t>
        </r>
      </text>
    </comment>
    <comment ref="C9" authorId="0" shapeId="0" xr:uid="{3C2279F8-0298-4D7E-B627-0B78427CF63E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Trading assets - Debt and equity instruments</t>
        </r>
      </text>
    </comment>
    <comment ref="D9" authorId="0" shapeId="0" xr:uid="{DF9194BF-59BA-4827-8E1A-CF16854DEC88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Trading assets - Debt and equity instruments</t>
        </r>
      </text>
    </comment>
    <comment ref="B10" authorId="0" shapeId="0" xr:uid="{DD426410-EF73-484E-8BA2-1CACBF436038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Trading assets - Derivative receivables</t>
        </r>
      </text>
    </comment>
    <comment ref="C10" authorId="0" shapeId="0" xr:uid="{08B42F12-E689-45C6-A2C5-F3A482F47A6E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Trading assets - Derivative receivables</t>
        </r>
      </text>
    </comment>
    <comment ref="D10" authorId="0" shapeId="0" xr:uid="{F74D88C3-9099-49F1-A6B0-8DCD50928316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Trading assets - Derivative receivables</t>
        </r>
      </text>
    </comment>
    <comment ref="B12" authorId="0" shapeId="0" xr:uid="{9D393906-232E-4D2A-8F77-FBF439DE1790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Available-for-sale securities</t>
        </r>
      </text>
    </comment>
    <comment ref="C12" authorId="0" shapeId="0" xr:uid="{771F1D6D-8A45-4BFB-ABF4-9730CDDC9C6E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Available-for-sale securities</t>
        </r>
      </text>
    </comment>
    <comment ref="D12" authorId="0" shapeId="0" xr:uid="{72763AA8-B754-4C4A-946A-5E46B3231D53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Available-for-sale securities</t>
        </r>
      </text>
    </comment>
    <comment ref="B13" authorId="0" shapeId="0" xr:uid="{6CD24693-D37E-4473-B054-44ABCF382ABD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Held-to-maturity securities</t>
        </r>
      </text>
    </comment>
    <comment ref="C13" authorId="0" shapeId="0" xr:uid="{708A8A09-E8F1-4FB8-8EC3-863982F06212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Held-to-maturity securities</t>
        </r>
      </text>
    </comment>
    <comment ref="D13" authorId="0" shapeId="0" xr:uid="{9FDFC9A2-7B83-49D3-9829-468EDEC77A3B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Held-to-maturity securities</t>
        </r>
      </text>
    </comment>
    <comment ref="B15" authorId="0" shapeId="0" xr:uid="{282C19AB-08EC-421E-B172-2E7A9F754927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Loans</t>
        </r>
      </text>
    </comment>
    <comment ref="C15" authorId="0" shapeId="0" xr:uid="{FB8FBC41-6F7C-4935-9EAD-8539DEB7398F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Loans</t>
        </r>
      </text>
    </comment>
    <comment ref="D15" authorId="0" shapeId="0" xr:uid="{DCD5D721-9DD5-4CAB-B357-1BFA035B07BA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Loans</t>
        </r>
      </text>
    </comment>
    <comment ref="B16" authorId="0" shapeId="0" xr:uid="{2C136AF1-AFCA-4FD2-8935-558E51EFDB50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Allowance for loan losses</t>
        </r>
      </text>
    </comment>
    <comment ref="C16" authorId="0" shapeId="0" xr:uid="{49105EA1-9241-4A71-B4B0-BEBCFCE0ADF7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Allowance for loan losses</t>
        </r>
      </text>
    </comment>
    <comment ref="D16" authorId="0" shapeId="0" xr:uid="{BFFE47F0-83BC-46AC-85F6-EB391266D172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Allowance for loan losses</t>
        </r>
      </text>
    </comment>
    <comment ref="B18" authorId="0" shapeId="0" xr:uid="{F6BAC59A-5967-46F0-9998-181F8ECAC536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Accrued interest and accounts receivable</t>
        </r>
      </text>
    </comment>
    <comment ref="C18" authorId="0" shapeId="0" xr:uid="{BF9EB9DB-445A-4F17-8793-11A72B0F9626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Accrued interest and accounts receivable</t>
        </r>
      </text>
    </comment>
    <comment ref="D18" authorId="0" shapeId="0" xr:uid="{A87E6135-A714-409C-947E-890E7748852D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Accrued interest and accounts receivable</t>
        </r>
      </text>
    </comment>
    <comment ref="B19" authorId="0" shapeId="0" xr:uid="{7D629781-1263-4FA1-BDE8-173F62F806F7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Premises and equipment</t>
        </r>
      </text>
    </comment>
    <comment ref="C19" authorId="0" shapeId="0" xr:uid="{2FF998B7-5EF0-4FB2-BAB6-820D3DCD7BB0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Premises and equipment</t>
        </r>
      </text>
    </comment>
    <comment ref="D19" authorId="0" shapeId="0" xr:uid="{8831E9A1-5E5B-4184-8E90-F31AB176C910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Premises and equipment</t>
        </r>
      </text>
    </comment>
    <comment ref="B20" authorId="0" shapeId="0" xr:uid="{F13DDA11-32B3-45D9-B0B9-E883AEE9AE89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Goodwill, MSRs and other intangible assets</t>
        </r>
      </text>
    </comment>
    <comment ref="C20" authorId="0" shapeId="0" xr:uid="{E57D2B12-ADBF-4793-82C1-E32D769D8A0F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Goodwill, MSRs and other intangible assets</t>
        </r>
      </text>
    </comment>
    <comment ref="D20" authorId="0" shapeId="0" xr:uid="{0EA8087A-A692-4D3C-8935-4C63ABBC4FE7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Goodwill, MSRs and other intangible assets</t>
        </r>
      </text>
    </comment>
    <comment ref="B21" authorId="0" shapeId="0" xr:uid="{E9992FCF-C2CE-43D1-83BE-A1103F152FD1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Other assets</t>
        </r>
      </text>
    </comment>
    <comment ref="C21" authorId="0" shapeId="0" xr:uid="{77C083BF-967C-45AD-B55C-B6E9699FBE59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Other assets</t>
        </r>
      </text>
    </comment>
    <comment ref="D21" authorId="0" shapeId="0" xr:uid="{0F57F0DD-5072-49C1-AB4E-CA71F6C61197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Other assets</t>
        </r>
      </text>
    </comment>
    <comment ref="B25" authorId="0" shapeId="0" xr:uid="{AF803FD4-5123-4723-A8D2-83A98DD5B894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Deposits</t>
        </r>
      </text>
    </comment>
    <comment ref="C25" authorId="0" shapeId="0" xr:uid="{48A6FB3A-3B76-4A99-A3BE-384B679DDA34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Deposits</t>
        </r>
      </text>
    </comment>
    <comment ref="D25" authorId="0" shapeId="0" xr:uid="{51CA9B04-7DBD-4D26-BF93-614A3D2737B6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Deposits</t>
        </r>
      </text>
    </comment>
    <comment ref="B26" authorId="0" shapeId="0" xr:uid="{C5C3D87D-54CC-45F0-BF7F-E9AF80F54FD3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Federal funds purchased and securities loaned or sold under repurchase agreements</t>
        </r>
      </text>
    </comment>
    <comment ref="C26" authorId="0" shapeId="0" xr:uid="{D4B7CFFA-A9F4-4422-ACD6-207E619108D2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Federal funds purchased and securities loaned or sold under repurchase agreements</t>
        </r>
      </text>
    </comment>
    <comment ref="D26" authorId="0" shapeId="0" xr:uid="{FC184E74-B9E1-4156-A348-23EB922135A7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Federal funds purchased and securities loaned or sold under repurchase agreements</t>
        </r>
      </text>
    </comment>
    <comment ref="B27" authorId="0" shapeId="0" xr:uid="{6164B9A5-89F8-4C47-9120-59B983E3A49F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Short-term borrowings</t>
        </r>
      </text>
    </comment>
    <comment ref="C27" authorId="0" shapeId="0" xr:uid="{0B6AD2A8-41C2-47D8-9A49-0CF57201299E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Short-term borrowings</t>
        </r>
      </text>
    </comment>
    <comment ref="D27" authorId="0" shapeId="0" xr:uid="{E7C79C2B-934D-4F6D-9326-E1C5485D6022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Short-term borrowings</t>
        </r>
      </text>
    </comment>
    <comment ref="B28" authorId="0" shapeId="0" xr:uid="{141F0C51-51EF-4759-B89D-30EF28E1EF62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Trading liabilities - Debt and equity instruments</t>
        </r>
      </text>
    </comment>
    <comment ref="C28" authorId="0" shapeId="0" xr:uid="{5CD65A15-033F-4613-8BA5-718F9735CF13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Trading liabilities - Debt and equity instruments</t>
        </r>
      </text>
    </comment>
    <comment ref="D28" authorId="0" shapeId="0" xr:uid="{A3734CEE-EBA9-4217-9C94-E497A868B934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Trading liabilities - Debt and equity instruments</t>
        </r>
      </text>
    </comment>
    <comment ref="B29" authorId="0" shapeId="0" xr:uid="{143574B7-6310-44BA-B430-66E2AD260373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Trading liabilities - Derivative payables</t>
        </r>
      </text>
    </comment>
    <comment ref="C29" authorId="0" shapeId="0" xr:uid="{85BF5ABF-741A-466B-9CDA-70183A66C960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Trading liabilities - Derivative payables</t>
        </r>
      </text>
    </comment>
    <comment ref="D29" authorId="0" shapeId="0" xr:uid="{2989775C-7A4F-44A4-A68D-62495BDDE238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Trading liabilities - Derivative payables</t>
        </r>
      </text>
    </comment>
    <comment ref="B30" authorId="0" shapeId="0" xr:uid="{2F7EC74C-0BAF-4869-B8CF-3C7A853A1CAE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Accounts payable and other liabilities</t>
        </r>
      </text>
    </comment>
    <comment ref="C30" authorId="0" shapeId="0" xr:uid="{849A2DCD-259D-4A77-9C74-83FBB4B8432D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Accounts payable and other liabilities</t>
        </r>
      </text>
    </comment>
    <comment ref="D30" authorId="0" shapeId="0" xr:uid="{BFB8405B-12BB-439B-93E7-D2B34BD80183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Accounts payable and other liabilities</t>
        </r>
      </text>
    </comment>
    <comment ref="B31" authorId="0" shapeId="0" xr:uid="{18EBA174-BE58-4B0D-9865-5D44E5DE03D5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Beneficial interests issued by consolidated VIEs</t>
        </r>
      </text>
    </comment>
    <comment ref="C31" authorId="0" shapeId="0" xr:uid="{C2A38F4C-202F-48C3-B50F-DBBF18713386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Beneficial interests issued by consolidated VIEs</t>
        </r>
      </text>
    </comment>
    <comment ref="D31" authorId="0" shapeId="0" xr:uid="{6A249174-041C-45FF-A299-918A37A9E057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Beneficial interests issued by consolidated VIEs</t>
        </r>
      </text>
    </comment>
    <comment ref="B32" authorId="0" shapeId="0" xr:uid="{7D2A5C0F-B214-433A-B5B0-7C53B4DD8FB3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Long-term debt</t>
        </r>
      </text>
    </comment>
    <comment ref="C32" authorId="0" shapeId="0" xr:uid="{481B970B-BA55-4182-B70D-D7142D1505A3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Long-term debt</t>
        </r>
      </text>
    </comment>
    <comment ref="D32" authorId="0" shapeId="0" xr:uid="{2F9C790B-FF7B-4DF3-8042-875ADEFF6076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Long-term debt</t>
        </r>
      </text>
    </comment>
    <comment ref="B36" authorId="0" shapeId="0" xr:uid="{05291132-A75F-4A19-A48F-99235753146E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Preferred stock</t>
        </r>
      </text>
    </comment>
    <comment ref="C36" authorId="0" shapeId="0" xr:uid="{4CFEC3B7-74B8-4887-B0D1-A48940A60C91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Preferred stock</t>
        </r>
      </text>
    </comment>
    <comment ref="D36" authorId="0" shapeId="0" xr:uid="{CAAD84A6-6C50-4D7C-914B-4126E87730C8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Preferred stock</t>
        </r>
      </text>
    </comment>
    <comment ref="B37" authorId="0" shapeId="0" xr:uid="{9F5ABF27-585C-41AE-91C1-FD22D628EECF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Common stock</t>
        </r>
      </text>
    </comment>
    <comment ref="C37" authorId="0" shapeId="0" xr:uid="{857D60B5-67A3-47F6-98A7-FA0C9ED7A136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Common stock</t>
        </r>
      </text>
    </comment>
    <comment ref="D37" authorId="0" shapeId="0" xr:uid="{16231D66-6023-405E-A44F-BDF905B383CF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Common stock</t>
        </r>
      </text>
    </comment>
    <comment ref="B38" authorId="0" shapeId="0" xr:uid="{E7411CCA-F614-42A2-A446-ED082495B025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Additional paid-in capital</t>
        </r>
      </text>
    </comment>
    <comment ref="C38" authorId="0" shapeId="0" xr:uid="{173DCDF3-55F7-404E-BE36-02C7AD6CD294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Additional paid-in capital</t>
        </r>
      </text>
    </comment>
    <comment ref="D38" authorId="0" shapeId="0" xr:uid="{1BE857D3-14EC-4554-892B-3DF4650DD5F3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Additional paid-in capital</t>
        </r>
      </text>
    </comment>
    <comment ref="B39" authorId="0" shapeId="0" xr:uid="{A970E69F-5338-43D9-BD90-AD1721C8A586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Retained earnings</t>
        </r>
      </text>
    </comment>
    <comment ref="C39" authorId="0" shapeId="0" xr:uid="{BF7A6B13-C2EA-43DA-AED2-AEB7DF30C60E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Retained earnings</t>
        </r>
      </text>
    </comment>
    <comment ref="D39" authorId="0" shapeId="0" xr:uid="{EF08B21A-3864-45BF-AFC7-DB41CADFFE23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Retained earnings</t>
        </r>
      </text>
    </comment>
    <comment ref="B40" authorId="0" shapeId="0" xr:uid="{84E2B74A-EE01-4B0F-9ED4-9F38407AA76F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Accumulated other comprehensive loss (AOCI)</t>
        </r>
      </text>
    </comment>
    <comment ref="C40" authorId="0" shapeId="0" xr:uid="{6B90AA30-78EF-4C0B-8E1A-BBA932F1F9EF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Accumulated other comprehensive loss (AOCI)</t>
        </r>
      </text>
    </comment>
    <comment ref="D40" authorId="0" shapeId="0" xr:uid="{0FEC1AA9-DDDF-4E95-BF28-EB9CA265B376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Accumulated other comprehensive loss (AOCI)</t>
        </r>
      </text>
    </comment>
    <comment ref="B41" authorId="0" shapeId="0" xr:uid="{095512CF-F9C2-4038-8CB8-8A1013611C8B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Treasury stock, at cost</t>
        </r>
      </text>
    </comment>
    <comment ref="C41" authorId="0" shapeId="0" xr:uid="{A3EBE42D-A8A5-414B-A8BF-1B639BF9E526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Treasury stock, at cost</t>
        </r>
      </text>
    </comment>
    <comment ref="D41" authorId="0" shapeId="0" xr:uid="{B49FFEA2-B12F-4255-A3A4-1E54ED8CE02B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https://www.jpmorganchase.com/content/dam/jpmc/jpmorgan-chase-and-co/investor-relations/documents/quarterly-earnings/2025/1st-quarter/1q25-earnings-supplement.xlsx
Page 5
Line item: Treasury stock, at cost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3" authorId="0" shapeId="0" xr:uid="{42F60FAB-7E49-4F00-9D07-6237B7D9F77D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Net income</t>
        </r>
      </text>
    </comment>
    <comment ref="C3" authorId="0" shapeId="0" xr:uid="{4ECC5F18-EED6-418A-BD95-522CE9F30ADE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Net income</t>
        </r>
      </text>
    </comment>
    <comment ref="D3" authorId="0" shapeId="0" xr:uid="{67FD3B76-78C0-498C-9B3D-9F3723C4217A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Net income</t>
        </r>
      </text>
    </comment>
    <comment ref="B4" authorId="0" shapeId="0" xr:uid="{512ED6E1-C769-4788-B193-824B9E4BF968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Provision for credit losses</t>
        </r>
      </text>
    </comment>
    <comment ref="C4" authorId="0" shapeId="0" xr:uid="{B937E173-CCB6-4BFE-BC06-322EB6DA60CB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Provision for credit losses</t>
        </r>
      </text>
    </comment>
    <comment ref="D4" authorId="0" shapeId="0" xr:uid="{524889D2-4E26-4491-80DC-8ED2A615CB14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Provision for credit losses</t>
        </r>
      </text>
    </comment>
    <comment ref="B5" authorId="0" shapeId="0" xr:uid="{1C66494A-718C-44C8-914F-76E0CC27444A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Depreciation and amortization</t>
        </r>
      </text>
    </comment>
    <comment ref="C5" authorId="0" shapeId="0" xr:uid="{332ECB5A-20EF-4C2C-A2AB-DC2F534FC6A7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Depreciation and amortization</t>
        </r>
      </text>
    </comment>
    <comment ref="D5" authorId="0" shapeId="0" xr:uid="{14C36831-6496-400C-B027-7BDA0180AA33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Depreciation and amortization</t>
        </r>
      </text>
    </comment>
    <comment ref="B6" authorId="0" shapeId="0" xr:uid="{98E8C21B-B98D-4DBD-9D80-BFBF53D24A96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Deferred tax (benefit)/expense</t>
        </r>
      </text>
    </comment>
    <comment ref="C6" authorId="0" shapeId="0" xr:uid="{7BA8BC22-1479-4DAE-A346-709C5FA0746A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Deferred tax (benefit)/expense</t>
        </r>
      </text>
    </comment>
    <comment ref="D6" authorId="0" shapeId="0" xr:uid="{B420E279-59AF-4087-BA0E-19ACE172B992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Deferred tax (benefit)/expense</t>
        </r>
      </text>
    </comment>
    <comment ref="B7" authorId="0" shapeId="0" xr:uid="{9BB5CE98-DBA1-46A0-9056-FB83C8D93979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Estimated bargain purchase gain associated with First Republic acquisition</t>
        </r>
      </text>
    </comment>
    <comment ref="C7" authorId="0" shapeId="0" xr:uid="{21AB4BD3-E9EF-40AD-8EF0-61D83E28F70F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Estimated bargain purchase gain associated with First Republic acquisition</t>
        </r>
      </text>
    </comment>
    <comment ref="D7" authorId="0" shapeId="0" xr:uid="{52FCACED-E4D2-4C39-929E-430DE1018F0D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Estimated bargain purchase gain associated with First Republic acquisition</t>
        </r>
      </text>
    </comment>
    <comment ref="B8" authorId="0" shapeId="0" xr:uid="{3BC5F30D-5713-49CF-95F8-0405493C075F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Initial gain on Visa share exchange</t>
        </r>
      </text>
    </comment>
    <comment ref="C8" authorId="0" shapeId="0" xr:uid="{293B6DCB-4AA2-47AF-B14A-21E84AB6AA0F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Initial gain on Visa share exchange</t>
        </r>
      </text>
    </comment>
    <comment ref="D8" authorId="0" shapeId="0" xr:uid="{B8935530-76B6-45FD-B511-B95FC88D91E9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Initial gain on Visa share exchange</t>
        </r>
      </text>
    </comment>
    <comment ref="B9" authorId="0" shapeId="0" xr:uid="{643C9BFA-3157-46A0-8792-12FE59C859D1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Other</t>
        </r>
      </text>
    </comment>
    <comment ref="C9" authorId="0" shapeId="0" xr:uid="{D3BF9070-1804-460B-92B2-10511E03D30F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Other</t>
        </r>
      </text>
    </comment>
    <comment ref="D9" authorId="0" shapeId="0" xr:uid="{41D801C3-8C14-414B-B11E-A0054E6F2A3B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Other</t>
        </r>
      </text>
    </comment>
    <comment ref="B10" authorId="0" shapeId="0" xr:uid="{62F2C4DC-05A7-41C1-942C-CA42BEDBA6AF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Originations and purchases of loans held-for-sale</t>
        </r>
      </text>
    </comment>
    <comment ref="C10" authorId="0" shapeId="0" xr:uid="{1D5442E1-2DEB-4CBF-BC4B-2F13B0F87E83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Originations and purchases of loans held-for-sale</t>
        </r>
      </text>
    </comment>
    <comment ref="D10" authorId="0" shapeId="0" xr:uid="{0F54A542-1BDA-4FEF-8E60-3DC1F4C32240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Originations and purchases of loans held-for-sale</t>
        </r>
      </text>
    </comment>
    <comment ref="B11" authorId="0" shapeId="0" xr:uid="{20BF5F91-1F18-49AB-841E-9A57402C3D52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Proceeds from sales, securitizations and paydowns of loans held-for-sale</t>
        </r>
      </text>
    </comment>
    <comment ref="C11" authorId="0" shapeId="0" xr:uid="{45151507-5FBE-4D77-8992-56895595FE61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Proceeds from sales, securitizations and paydowns of loans held-for-sale</t>
        </r>
      </text>
    </comment>
    <comment ref="D11" authorId="0" shapeId="0" xr:uid="{83FAA18B-26A7-485A-B908-1B28E041E262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Proceeds from sales, securitizations and paydowns of loans held-for-sale</t>
        </r>
      </text>
    </comment>
    <comment ref="B12" authorId="0" shapeId="0" xr:uid="{650F33DF-2B86-4F00-86B8-03FF46E4275D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Trading assets</t>
        </r>
      </text>
    </comment>
    <comment ref="C12" authorId="0" shapeId="0" xr:uid="{73C2FFD5-8905-4B5E-B624-A833F167473C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Trading assets</t>
        </r>
      </text>
    </comment>
    <comment ref="D12" authorId="0" shapeId="0" xr:uid="{289D305B-1DD8-4E9E-9749-73EDBAF31F2D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Trading assets</t>
        </r>
      </text>
    </comment>
    <comment ref="B13" authorId="0" shapeId="0" xr:uid="{3D1522F1-5A19-477A-A7D5-1DCD0B16C7DC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Securities borrowed</t>
        </r>
      </text>
    </comment>
    <comment ref="C13" authorId="0" shapeId="0" xr:uid="{AEE1C42B-AAB2-4367-A4A9-6C5EFB1B7B7D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Securities borrowed</t>
        </r>
      </text>
    </comment>
    <comment ref="D13" authorId="0" shapeId="0" xr:uid="{27FBBC3E-7BE5-4FB3-92DC-CCF1013A8B92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Securities borrowed</t>
        </r>
      </text>
    </comment>
    <comment ref="B14" authorId="0" shapeId="0" xr:uid="{750B647B-76BE-48CB-B678-80953BF64610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Accrued interest and accounts receivable</t>
        </r>
      </text>
    </comment>
    <comment ref="C14" authorId="0" shapeId="0" xr:uid="{407F9839-5B61-4BA5-A45D-3848E72ACF9D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Accrued interest and accounts receivable</t>
        </r>
      </text>
    </comment>
    <comment ref="D14" authorId="0" shapeId="0" xr:uid="{0D5A5F07-DEC1-4612-B39F-968121A8E073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Accrued interest and accounts receivable</t>
        </r>
      </text>
    </comment>
    <comment ref="B15" authorId="0" shapeId="0" xr:uid="{59A0858E-C267-4426-BE0C-1D5801FEA2AF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Other assets</t>
        </r>
      </text>
    </comment>
    <comment ref="C15" authorId="0" shapeId="0" xr:uid="{2EB0165B-5CA2-40F6-AF62-A4C0896D90E9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Other assets</t>
        </r>
      </text>
    </comment>
    <comment ref="D15" authorId="0" shapeId="0" xr:uid="{9971B79F-D53D-4C97-B928-57F56BE9B7A2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Other assets</t>
        </r>
      </text>
    </comment>
    <comment ref="B16" authorId="0" shapeId="0" xr:uid="{3F1CDAE2-FEBF-43A6-B513-B89610E757DC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Trading liabilities</t>
        </r>
      </text>
    </comment>
    <comment ref="C16" authorId="0" shapeId="0" xr:uid="{DF2BD1D7-AD17-479F-AB6E-E908C9FEEC70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Trading liabilities</t>
        </r>
      </text>
    </comment>
    <comment ref="D16" authorId="0" shapeId="0" xr:uid="{8926E421-73E3-42FC-8705-E3F4660D50AE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Trading liabilities</t>
        </r>
      </text>
    </comment>
    <comment ref="B17" authorId="0" shapeId="0" xr:uid="{4AC8A031-C414-49F7-B2F3-812ED306C8FF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Accounts payable and other liabilities</t>
        </r>
      </text>
    </comment>
    <comment ref="C17" authorId="0" shapeId="0" xr:uid="{DE852917-D295-4CFA-89FE-DEAE7A1EFBCB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Accounts payable and other liabilities</t>
        </r>
      </text>
    </comment>
    <comment ref="D17" authorId="0" shapeId="0" xr:uid="{95DEBACB-54EF-4CFE-9E5A-53327310D68E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Accounts payable and other liabilities</t>
        </r>
      </text>
    </comment>
    <comment ref="B18" authorId="0" shapeId="0" xr:uid="{FCFD4992-3C75-4AD5-A178-4C40685B4FC7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Other operating adjustments</t>
        </r>
      </text>
    </comment>
    <comment ref="C18" authorId="0" shapeId="0" xr:uid="{5309C4FF-C81B-4AD0-A024-93D20102E2E4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Other operating adjustments</t>
        </r>
      </text>
    </comment>
    <comment ref="D18" authorId="0" shapeId="0" xr:uid="{A2C8D501-BCD8-48CA-8656-9AD53D479361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Other operating adjustments</t>
        </r>
      </text>
    </comment>
    <comment ref="B22" authorId="0" shapeId="0" xr:uid="{7EB4D3F9-C102-49C4-A57C-C89954F8375A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Federal funds sold and securities purchased under resale agreements</t>
        </r>
      </text>
    </comment>
    <comment ref="C22" authorId="0" shapeId="0" xr:uid="{33F85673-942C-4DDE-914C-D96B3D347474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Federal funds sold and securities purchased under resale agreements</t>
        </r>
      </text>
    </comment>
    <comment ref="D22" authorId="0" shapeId="0" xr:uid="{0F3743E1-5D34-4366-A882-C2E4026FC93E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Federal funds sold and securities purchased under resale agreements</t>
        </r>
      </text>
    </comment>
    <comment ref="B23" authorId="0" shapeId="0" xr:uid="{61267E91-531A-4198-B459-461DDBB7A2E9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HTM securities - Proceeds from paydowns and maturities</t>
        </r>
      </text>
    </comment>
    <comment ref="C23" authorId="0" shapeId="0" xr:uid="{004387B7-FD21-44C5-8F67-1D55A2D55412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HTM securities - Proceeds from paydowns and maturities</t>
        </r>
      </text>
    </comment>
    <comment ref="D23" authorId="0" shapeId="0" xr:uid="{9AA99459-A549-4DFE-88B0-35CEE383AA96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HTM securities - Proceeds from paydowns and maturities</t>
        </r>
      </text>
    </comment>
    <comment ref="B24" authorId="0" shapeId="0" xr:uid="{3EF752B1-94F5-4DD1-AD56-9D5202A30162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HTM securities - Purchases</t>
        </r>
      </text>
    </comment>
    <comment ref="C24" authorId="0" shapeId="0" xr:uid="{8BF8D881-E8B8-418F-B7DD-096A94FBA5BC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HTM securities - Purchases</t>
        </r>
      </text>
    </comment>
    <comment ref="D24" authorId="0" shapeId="0" xr:uid="{59049406-FBF0-4FC8-B96E-9990CDE0CB3B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HTM securities - Purchases</t>
        </r>
      </text>
    </comment>
    <comment ref="B25" authorId="0" shapeId="0" xr:uid="{4E4B6952-E8D9-4249-8A10-02550C0827AA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AFS securities - Proceeds from paydowns and maturities</t>
        </r>
      </text>
    </comment>
    <comment ref="C25" authorId="0" shapeId="0" xr:uid="{D8670A3F-8B51-48CD-B7AE-60CB8044E272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AFS securities - Proceeds from paydowns and maturities</t>
        </r>
      </text>
    </comment>
    <comment ref="D25" authorId="0" shapeId="0" xr:uid="{DA738BBD-CCDF-403C-92FA-3498694792DC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AFS securities - Proceeds from paydowns and maturities</t>
        </r>
      </text>
    </comment>
    <comment ref="B26" authorId="0" shapeId="0" xr:uid="{42890E36-7FDA-476B-9674-4DE83E875548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AFS securities - Proceeds from sales</t>
        </r>
      </text>
    </comment>
    <comment ref="C26" authorId="0" shapeId="0" xr:uid="{6180C17F-F991-4C8D-8674-267CEBFC52E8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AFS securities - Proceeds from sales</t>
        </r>
      </text>
    </comment>
    <comment ref="D26" authorId="0" shapeId="0" xr:uid="{8FD172C3-61A3-47F3-A1E7-A4D408763723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AFS securities - Proceeds from sales</t>
        </r>
      </text>
    </comment>
    <comment ref="B27" authorId="0" shapeId="0" xr:uid="{58AB873C-4D74-4E45-B8A4-258973DCA9BB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AFS securities - Purchases</t>
        </r>
      </text>
    </comment>
    <comment ref="C27" authorId="0" shapeId="0" xr:uid="{F5841758-7895-4776-B045-0FAECB29FE1B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AFS securities - Purchases</t>
        </r>
      </text>
    </comment>
    <comment ref="D27" authorId="0" shapeId="0" xr:uid="{A4DE3BCC-6FF2-4524-B875-96FF77CEF9EB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AFS securities - Purchases</t>
        </r>
      </text>
    </comment>
    <comment ref="B28" authorId="0" shapeId="0" xr:uid="{33348226-067D-475E-99BF-6A7CAEAF5196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Proceeds from sales and securitizations of loans held-for-investment</t>
        </r>
      </text>
    </comment>
    <comment ref="C28" authorId="0" shapeId="0" xr:uid="{45AA6514-9A40-46E6-81E2-512BB657C937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Proceeds from sales and securitizations of loans held-for-investment</t>
        </r>
      </text>
    </comment>
    <comment ref="D28" authorId="0" shapeId="0" xr:uid="{7A079149-56F6-491D-AA1E-628FD05D653A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Proceeds from sales and securitizations of loans held-for-investment</t>
        </r>
      </text>
    </comment>
    <comment ref="B29" authorId="0" shapeId="0" xr:uid="{40CE0C9C-5FC8-497C-9A97-121015E8D5D8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Other changes in loans, net</t>
        </r>
      </text>
    </comment>
    <comment ref="C29" authorId="0" shapeId="0" xr:uid="{06DC0050-7906-4D9A-B864-3016A761C400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Other changes in loans, net</t>
        </r>
      </text>
    </comment>
    <comment ref="D29" authorId="0" shapeId="0" xr:uid="{838B7495-E1FE-4819-AF91-D65C3518EEA1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Other changes in loans, net</t>
        </r>
      </text>
    </comment>
    <comment ref="B30" authorId="0" shapeId="0" xr:uid="{4F703E3D-D293-472A-8C36-8AF46101BCB3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Net cash used in First Republic Acquisition</t>
        </r>
      </text>
    </comment>
    <comment ref="C30" authorId="0" shapeId="0" xr:uid="{A3F51C30-8DBC-4ACC-8327-FA8D49CD58BD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Net cash used in First Republic Acquisition</t>
        </r>
      </text>
    </comment>
    <comment ref="D30" authorId="0" shapeId="0" xr:uid="{F2571CD2-9187-479B-8373-16AA8ABA2982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Net cash used in First Republic Acquisition</t>
        </r>
      </text>
    </comment>
    <comment ref="B31" authorId="0" shapeId="0" xr:uid="{C482F713-21C0-452B-88C6-F87E36390B90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All other investing activities, net</t>
        </r>
      </text>
    </comment>
    <comment ref="C31" authorId="0" shapeId="0" xr:uid="{D80B83B3-4C16-4E98-BE8A-433722656FB1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All other investing activities, net</t>
        </r>
      </text>
    </comment>
    <comment ref="D31" authorId="0" shapeId="0" xr:uid="{81386059-1C44-4AE8-8C17-35CD165DE08A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All other investing activities, net</t>
        </r>
      </text>
    </comment>
    <comment ref="B35" authorId="0" shapeId="0" xr:uid="{A37D59E2-2EE2-46B9-BE7F-B171A2BBDD0F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Deposits</t>
        </r>
      </text>
    </comment>
    <comment ref="C35" authorId="0" shapeId="0" xr:uid="{CE24371C-6CFA-4FB9-B570-65F1665A2C6B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Deposits</t>
        </r>
      </text>
    </comment>
    <comment ref="D35" authorId="0" shapeId="0" xr:uid="{9A5E05A5-66A4-493F-89A7-32B48E5B426A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Deposits</t>
        </r>
      </text>
    </comment>
    <comment ref="B36" authorId="0" shapeId="0" xr:uid="{6E0F63F7-AB32-4892-8379-B3D59DBF5BF8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Federal funds purchased and securities loaned or sold under repurchase agreements</t>
        </r>
      </text>
    </comment>
    <comment ref="C36" authorId="0" shapeId="0" xr:uid="{617C28D2-1403-4BA8-B94F-8E763C9BD30E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Federal funds purchased and securities loaned or sold under repurchase agreements</t>
        </r>
      </text>
    </comment>
    <comment ref="D36" authorId="0" shapeId="0" xr:uid="{8C1EA5D3-86A9-47CE-9B0A-B515DCC3F353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Federal funds purchased and securities loaned or sold under repurchase agreements</t>
        </r>
      </text>
    </comment>
    <comment ref="B37" authorId="0" shapeId="0" xr:uid="{E56B7413-3584-4009-B52A-9E5CB8A65484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Short-term borrowings</t>
        </r>
      </text>
    </comment>
    <comment ref="C37" authorId="0" shapeId="0" xr:uid="{29763D76-D584-48FA-BCF9-B8B5ED5D5F9E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Short-term borrowings</t>
        </r>
      </text>
    </comment>
    <comment ref="D37" authorId="0" shapeId="0" xr:uid="{96DBBD12-8BE9-41DD-812B-64B9B92484AF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Short-term borrowings</t>
        </r>
      </text>
    </comment>
    <comment ref="B38" authorId="0" shapeId="0" xr:uid="{FC6CA445-9AB6-4128-B645-70F97EACE2EE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Beneficial interests issued by consolidated VIEs</t>
        </r>
      </text>
    </comment>
    <comment ref="C38" authorId="0" shapeId="0" xr:uid="{AE8D1FE2-C7BD-4B14-9F0C-D83FB0FECF53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Beneficial interests issued by consolidated VIEs</t>
        </r>
      </text>
    </comment>
    <comment ref="D38" authorId="0" shapeId="0" xr:uid="{D4D1F625-FFFE-4C14-8B16-1760B5877A91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Beneficial interests issued by consolidated VIEs</t>
        </r>
      </text>
    </comment>
    <comment ref="B39" authorId="0" shapeId="0" xr:uid="{0D16C917-2199-4665-BA63-47E585BC5CC4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Proceeds from long-term borrowings</t>
        </r>
      </text>
    </comment>
    <comment ref="C39" authorId="0" shapeId="0" xr:uid="{26DB7BBB-1436-4BE0-9318-4F51768747EE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Proceeds from long-term borrowings</t>
        </r>
      </text>
    </comment>
    <comment ref="D39" authorId="0" shapeId="0" xr:uid="{53905297-1D2D-4C51-A432-BC4F26CD3B35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Proceeds from long-term borrowings</t>
        </r>
      </text>
    </comment>
    <comment ref="B40" authorId="0" shapeId="0" xr:uid="{E510098E-615A-4BE8-93B2-D453CD03B537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Payments of long-term borrowings</t>
        </r>
      </text>
    </comment>
    <comment ref="C40" authorId="0" shapeId="0" xr:uid="{DBE0F608-43B6-4D0E-B11B-61B592910EB9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Payments of long-term borrowings</t>
        </r>
      </text>
    </comment>
    <comment ref="D40" authorId="0" shapeId="0" xr:uid="{F6876FE7-23BB-4F37-8695-8C2571C30910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Payments of long-term borrowings</t>
        </r>
      </text>
    </comment>
    <comment ref="B41" authorId="0" shapeId="0" xr:uid="{D034B51C-D512-4A60-9E12-DA723857DEC9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Proceeds from issuance of preferred stock</t>
        </r>
      </text>
    </comment>
    <comment ref="C41" authorId="0" shapeId="0" xr:uid="{EDD67471-BAA1-4F25-81E4-5F22CD2E9429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Proceeds from issuance of preferred stock</t>
        </r>
      </text>
    </comment>
    <comment ref="D41" authorId="0" shapeId="0" xr:uid="{01B0A80E-C02E-4AFC-B617-648A093A8C3E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Proceeds from issuance of preferred stock</t>
        </r>
      </text>
    </comment>
    <comment ref="B42" authorId="0" shapeId="0" xr:uid="{7D85B6B7-BD74-4B97-8C95-4C16F21195E9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Redemption of preferred stock</t>
        </r>
      </text>
    </comment>
    <comment ref="C42" authorId="0" shapeId="0" xr:uid="{33960EC3-7D52-44A3-A236-A6A6741C5828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Redemption of preferred stock</t>
        </r>
      </text>
    </comment>
    <comment ref="D42" authorId="0" shapeId="0" xr:uid="{AC0E657A-A22A-4763-88E8-1E84B099A6B8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Redemption of preferred stock</t>
        </r>
      </text>
    </comment>
    <comment ref="B43" authorId="0" shapeId="0" xr:uid="{C1722D12-2018-4F22-8C18-2A4A5FDEA21C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Treasury stock repurchased</t>
        </r>
      </text>
    </comment>
    <comment ref="C43" authorId="0" shapeId="0" xr:uid="{36DC8966-2B04-4B9F-93F6-6A143341126B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Treasury stock repurchased</t>
        </r>
      </text>
    </comment>
    <comment ref="D43" authorId="0" shapeId="0" xr:uid="{0EB0E6A4-F911-4B3A-8A12-CBA4A7E8B8D7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Treasury stock repurchased</t>
        </r>
      </text>
    </comment>
    <comment ref="B44" authorId="0" shapeId="0" xr:uid="{DFF6AE36-323E-4BC3-B1F9-7BCD1960E77E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Dividends paid</t>
        </r>
      </text>
    </comment>
    <comment ref="C44" authorId="0" shapeId="0" xr:uid="{0B5E762F-99C8-4426-B9AB-6F002ACA9E94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Dividends paid</t>
        </r>
      </text>
    </comment>
    <comment ref="D44" authorId="0" shapeId="0" xr:uid="{DE5FEAEB-B5D7-4162-B232-A22457C4CD11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Dividends paid</t>
        </r>
      </text>
    </comment>
    <comment ref="B45" authorId="0" shapeId="0" xr:uid="{D3E65556-4FEA-48B9-8BE3-D96E0B3086CD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All other financing activities, net</t>
        </r>
      </text>
    </comment>
    <comment ref="C45" authorId="0" shapeId="0" xr:uid="{B8731F1C-6254-488D-8311-3E1947EC86DB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All other financing activities, net</t>
        </r>
      </text>
    </comment>
    <comment ref="D45" authorId="0" shapeId="0" xr:uid="{DFBDEC62-0A03-457E-A8A4-42046E624C54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All other financing activities, net</t>
        </r>
      </text>
    </comment>
    <comment ref="B48" authorId="0" shapeId="0" xr:uid="{EB190551-8A6C-4C64-933F-C920A18B1D60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Effect of exchange rate changes on cash and due from banks and deposits with banks</t>
        </r>
      </text>
    </comment>
    <comment ref="C48" authorId="0" shapeId="0" xr:uid="{DEB0BD8F-7733-4F66-86B1-E0283E70BEA7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Effect of exchange rate changes on cash and due from banks and deposits with banks</t>
        </r>
      </text>
    </comment>
    <comment ref="D48" authorId="0" shapeId="0" xr:uid="{D5A6724C-021F-4A53-BD2A-5DA25F4E99D4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Effect of exchange rate changes on cash and due from banks and deposits with banks</t>
        </r>
      </text>
    </comment>
    <comment ref="B49" authorId="0" shapeId="0" xr:uid="{FD8815CD-ED08-4BE3-B20F-A8554CCAE497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Net increase/(decrease) in cash and due from banks and deposits with banks</t>
        </r>
      </text>
    </comment>
    <comment ref="C49" authorId="0" shapeId="0" xr:uid="{09A566E4-D619-4AB4-AC04-2B8483605FF7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Net increase/(decrease) in cash and due from banks and deposits with banks</t>
        </r>
      </text>
    </comment>
    <comment ref="D49" authorId="0" shapeId="0" xr:uid="{3B3C19AB-A964-49CE-8E6E-2ED0D6EBCCD5}">
      <text>
        <r>
          <rPr>
            <sz val="11"/>
            <color theme="1"/>
            <rFont val="Calibri"/>
            <family val="2"/>
            <scheme val="minor"/>
          </rPr>
          <t>Source URL:
https://www.jpmorganchase.com/content/dam/jpmc/jpmorgan-chase-and-co/investor-relations/documents/quarterly-earnings/2024/4th-quarter/corp-10k-2024.pdf
Statements of cash flows
Line item: Net increase/(decrease) in cash and due from banks and deposits with banks</t>
        </r>
      </text>
    </comment>
  </commentList>
</comments>
</file>

<file path=xl/sharedStrings.xml><?xml version="1.0" encoding="utf-8"?>
<sst xmlns="http://schemas.openxmlformats.org/spreadsheetml/2006/main" count="129" uniqueCount="115">
  <si>
    <t>JPMorgan Chase &amp; Co. — Income Statement ($mm)</t>
  </si>
  <si>
    <t>Line Item</t>
  </si>
  <si>
    <t>1Q25</t>
  </si>
  <si>
    <t>4Q24</t>
  </si>
  <si>
    <t>1Q24</t>
  </si>
  <si>
    <t>Investment banking fees</t>
  </si>
  <si>
    <t>Principal transactions</t>
  </si>
  <si>
    <t>Lending- and deposit-related fees</t>
  </si>
  <si>
    <t>Asset management fees</t>
  </si>
  <si>
    <t>Commissions and other fees</t>
  </si>
  <si>
    <t>Investment securities losses</t>
  </si>
  <si>
    <t>Mortgage fees and related income</t>
  </si>
  <si>
    <t>Card income</t>
  </si>
  <si>
    <t>Other income</t>
  </si>
  <si>
    <t>Noninterest revenue</t>
  </si>
  <si>
    <t>Interest income</t>
  </si>
  <si>
    <t>Interest expense</t>
  </si>
  <si>
    <t>Net interest income</t>
  </si>
  <si>
    <t>Total net revenue</t>
  </si>
  <si>
    <t>Provision for credit losses</t>
  </si>
  <si>
    <t>Compensation expense</t>
  </si>
  <si>
    <t>Occupancy expense</t>
  </si>
  <si>
    <t>Technology, communications and equipment expense</t>
  </si>
  <si>
    <t>Professional and outside services</t>
  </si>
  <si>
    <t>Marketing</t>
  </si>
  <si>
    <t>Other expense</t>
  </si>
  <si>
    <t>Total noninterest expense</t>
  </si>
  <si>
    <t>Income before income tax expense</t>
  </si>
  <si>
    <t>Income tax expense</t>
  </si>
  <si>
    <t>Net income</t>
  </si>
  <si>
    <t>Basic EPS</t>
  </si>
  <si>
    <t>Diluted EPS</t>
  </si>
  <si>
    <t>Reported ROE (annualized)</t>
  </si>
  <si>
    <t>Reported ROTCE (annualized)</t>
  </si>
  <si>
    <t>Reported ROA (annualized)</t>
  </si>
  <si>
    <t>Reported Overhead ratio</t>
  </si>
  <si>
    <t>JPMorgan Chase &amp; Co. — Balance Sheet ($mm)</t>
  </si>
  <si>
    <t>Mar 31 2025</t>
  </si>
  <si>
    <t>Dec 31 2024</t>
  </si>
  <si>
    <t>Mar 31 2024</t>
  </si>
  <si>
    <t>Assets</t>
  </si>
  <si>
    <t>Cash and due from banks</t>
  </si>
  <si>
    <t>Deposits with banks</t>
  </si>
  <si>
    <t>Federal funds sold and securities purchased under resale agreements</t>
  </si>
  <si>
    <t>Securities borrowed</t>
  </si>
  <si>
    <t>Trading assets</t>
  </si>
  <si>
    <t>Trading assets - Debt and equity instruments</t>
  </si>
  <si>
    <t>Trading assets - Derivative receivables</t>
  </si>
  <si>
    <t>Investment securities</t>
  </si>
  <si>
    <t>Available-for-sale securities</t>
  </si>
  <si>
    <t>Held-to-maturity securities</t>
  </si>
  <si>
    <t>Investment securities, net</t>
  </si>
  <si>
    <t>Loans</t>
  </si>
  <si>
    <t>Allowance for loan losses</t>
  </si>
  <si>
    <t>Loans, net of allowance</t>
  </si>
  <si>
    <t>Accrued interest and accounts receivable</t>
  </si>
  <si>
    <t>Premises and equipment</t>
  </si>
  <si>
    <t>Goodwill, MSRs and other intangible assets</t>
  </si>
  <si>
    <t>Other assets</t>
  </si>
  <si>
    <t>Total assets</t>
  </si>
  <si>
    <t>Liabilities</t>
  </si>
  <si>
    <t>Deposits</t>
  </si>
  <si>
    <t>Federal funds purchased and securities loaned or sold under repurchase agreements</t>
  </si>
  <si>
    <t>Short-term borrowings</t>
  </si>
  <si>
    <t>Trading liabilities - Debt and equity instruments</t>
  </si>
  <si>
    <t>Trading liabilities - Derivative payables</t>
  </si>
  <si>
    <t>Accounts payable and other liabilities</t>
  </si>
  <si>
    <t>Beneficial interests issued by consolidated VIEs</t>
  </si>
  <si>
    <t>Long-term debt</t>
  </si>
  <si>
    <t>Total liabilities</t>
  </si>
  <si>
    <t>Stockholders’ equity</t>
  </si>
  <si>
    <t>Preferred stock</t>
  </si>
  <si>
    <t>Common stock</t>
  </si>
  <si>
    <t>Additional paid-in capital</t>
  </si>
  <si>
    <t>Retained earnings</t>
  </si>
  <si>
    <t>Accumulated other comprehensive loss (AOCI)</t>
  </si>
  <si>
    <t>Treasury stock, at cost</t>
  </si>
  <si>
    <t>Total stockholders’ equity</t>
  </si>
  <si>
    <t>Total liabilities and stockholders’ equity</t>
  </si>
  <si>
    <t>2024</t>
  </si>
  <si>
    <t>2023</t>
  </si>
  <si>
    <t>2022</t>
  </si>
  <si>
    <t>Operating activities</t>
  </si>
  <si>
    <t>Depreciation and amortization</t>
  </si>
  <si>
    <t>Deferred tax (benefit)/expense</t>
  </si>
  <si>
    <t>Estimated bargain purchase gain associated with First Republic acquisition</t>
  </si>
  <si>
    <t>Initial gain on Visa share exchange</t>
  </si>
  <si>
    <t>Other</t>
  </si>
  <si>
    <t>Originations and purchases of loans held-for-sale</t>
  </si>
  <si>
    <t>Proceeds from sales, securitizations and paydowns of loans held-for-sale</t>
  </si>
  <si>
    <t>Trading liabilities</t>
  </si>
  <si>
    <t>Other operating adjustments</t>
  </si>
  <si>
    <t>Net cash provided by/(used in) operating activities</t>
  </si>
  <si>
    <t>Investing activities</t>
  </si>
  <si>
    <t>HTM securities - Proceeds from paydowns and maturities</t>
  </si>
  <si>
    <t>HTM securities - Purchases</t>
  </si>
  <si>
    <t>AFS securities - Proceeds from paydowns and maturities</t>
  </si>
  <si>
    <t>AFS securities - Proceeds from sales</t>
  </si>
  <si>
    <t>AFS securities - Purchases</t>
  </si>
  <si>
    <t>Proceeds from sales and securitizations of loans held-for-investment</t>
  </si>
  <si>
    <t>Other changes in loans, net</t>
  </si>
  <si>
    <t>Net cash used in First Republic Acquisition</t>
  </si>
  <si>
    <t>All other investing activities, net</t>
  </si>
  <si>
    <t>Net cash provided by/(used in) investing activities</t>
  </si>
  <si>
    <t>Financing activities</t>
  </si>
  <si>
    <t>Proceeds from long-term borrowings</t>
  </si>
  <si>
    <t>Payments of long-term borrowings</t>
  </si>
  <si>
    <t>Proceeds from issuance of preferred stock</t>
  </si>
  <si>
    <t>Redemption of preferred stock</t>
  </si>
  <si>
    <t>Treasury stock repurchased</t>
  </si>
  <si>
    <t>Dividends paid</t>
  </si>
  <si>
    <t>All other financing activities, net</t>
  </si>
  <si>
    <t>Net cash provided by/(used in) financing activities</t>
  </si>
  <si>
    <t>Effect of exchange rate changes on cash and due from banks and deposits with banks</t>
  </si>
  <si>
    <t>Net increase/(decrease) in cash and due from banks and deposits with banks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</si>
</sst>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;[Red]\(#,##0\);\-"/>
    <numFmt numFmtId="165" formatCode="0.00_);[Red]\(0.00\);\-"/>
    <numFmt numFmtId="166" formatCode="0.0%;[Red]\(0.0%\);\-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 style="medium">
        <color rgb="FF1F4E78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64" fontId="3" fillId="0" borderId="0" xfId="0" applyNumberFormat="1" applyFont="1" applyAlignment="1">
      <alignment horizontal="right"/>
    </xf>
    <xf numFmtId="0" fontId="2" fillId="0" borderId="2" xfId="0" applyFont="1" applyBorder="1" applyAlignment="1">
      <alignment horizontal="left"/>
    </xf>
    <xf numFmtId="164" fontId="2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0" fontId="4" fillId="0" borderId="2" xfId="0" applyFont="1" applyBorder="1" applyAlignment="1">
      <alignment horizontal="left"/>
    </xf>
    <xf numFmtId="164" fontId="5" fillId="0" borderId="2" xfId="0" applyNumberFormat="1" applyFont="1" applyBorder="1" applyAlignment="1">
      <alignment horizontal="right"/>
    </xf>
    <xf numFmtId="164" fontId="4" fillId="0" borderId="2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4" fillId="4" borderId="0" xfId="0" applyFont="1" applyFill="1" applyAlignment="1">
      <alignment horizontal="left"/>
    </xf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/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workbookViewId="0">
      <selection activeCell="K15" sqref="K15"/>
    </sheetView>
  </sheetViews>
  <sheetFormatPr defaultRowHeight="14.4" x14ac:dyDescent="0.3"/>
  <cols>
    <col min="1" max="1" width="42.44140625" customWidth="1"/>
    <col min="2" max="2" width="17.88671875" customWidth="1"/>
    <col min="3" max="3" width="20.33203125" customWidth="1"/>
    <col min="4" max="4" width="16.109375" customWidth="1"/>
  </cols>
  <sheetData>
    <row r="1" spans="1:4" ht="18" x14ac:dyDescent="0.35">
      <c r="A1" s="16" t="s">
        <v>0</v>
      </c>
      <c r="B1" s="17"/>
      <c r="C1" s="17"/>
      <c r="D1" s="17"/>
    </row>
    <row r="2" spans="1:4" ht="15" thickBot="1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5</v>
      </c>
      <c r="B3" s="3">
        <v>2178</v>
      </c>
      <c r="C3" s="3">
        <v>2421</v>
      </c>
      <c r="D3" s="3">
        <v>1954</v>
      </c>
    </row>
    <row r="4" spans="1:4" x14ac:dyDescent="0.3">
      <c r="A4" s="2" t="s">
        <v>6</v>
      </c>
      <c r="B4" s="3">
        <v>7614</v>
      </c>
      <c r="C4" s="3">
        <v>5195</v>
      </c>
      <c r="D4" s="3">
        <v>6790</v>
      </c>
    </row>
    <row r="5" spans="1:4" x14ac:dyDescent="0.3">
      <c r="A5" s="2" t="s">
        <v>7</v>
      </c>
      <c r="B5" s="3">
        <v>2132</v>
      </c>
      <c r="C5" s="3">
        <v>1952</v>
      </c>
      <c r="D5" s="3">
        <v>1902</v>
      </c>
    </row>
    <row r="6" spans="1:4" x14ac:dyDescent="0.3">
      <c r="A6" s="2" t="s">
        <v>8</v>
      </c>
      <c r="B6" s="3">
        <v>4700</v>
      </c>
      <c r="C6" s="3">
        <v>4874</v>
      </c>
      <c r="D6" s="3">
        <v>4146</v>
      </c>
    </row>
    <row r="7" spans="1:4" x14ac:dyDescent="0.3">
      <c r="A7" s="2" t="s">
        <v>9</v>
      </c>
      <c r="B7" s="3">
        <v>2033</v>
      </c>
      <c r="C7" s="3">
        <v>1865</v>
      </c>
      <c r="D7" s="3">
        <v>1805</v>
      </c>
    </row>
    <row r="8" spans="1:4" x14ac:dyDescent="0.3">
      <c r="A8" s="2" t="s">
        <v>10</v>
      </c>
      <c r="B8" s="3">
        <v>-37</v>
      </c>
      <c r="C8" s="3">
        <v>-92</v>
      </c>
      <c r="D8" s="3">
        <v>-366</v>
      </c>
    </row>
    <row r="9" spans="1:4" x14ac:dyDescent="0.3">
      <c r="A9" s="2" t="s">
        <v>11</v>
      </c>
      <c r="B9" s="3">
        <v>278</v>
      </c>
      <c r="C9" s="3">
        <v>376</v>
      </c>
      <c r="D9" s="3">
        <v>275</v>
      </c>
    </row>
    <row r="10" spans="1:4" x14ac:dyDescent="0.3">
      <c r="A10" s="2" t="s">
        <v>12</v>
      </c>
      <c r="B10" s="3">
        <v>1216</v>
      </c>
      <c r="C10" s="3">
        <v>1602</v>
      </c>
      <c r="D10" s="3">
        <v>1218</v>
      </c>
    </row>
    <row r="11" spans="1:4" ht="15" thickBot="1" x14ac:dyDescent="0.35">
      <c r="A11" s="2" t="s">
        <v>13</v>
      </c>
      <c r="B11" s="3">
        <v>1923</v>
      </c>
      <c r="C11" s="3">
        <v>1225</v>
      </c>
      <c r="D11" s="3">
        <v>1128</v>
      </c>
    </row>
    <row r="12" spans="1:4" x14ac:dyDescent="0.3">
      <c r="A12" s="4" t="s">
        <v>14</v>
      </c>
      <c r="B12" s="5">
        <f>SUM(B3:B11)</f>
        <v>22037</v>
      </c>
      <c r="C12" s="5">
        <f>SUM(C3:C11)</f>
        <v>19418</v>
      </c>
      <c r="D12" s="5">
        <f>SUM(D3:D11)</f>
        <v>18852</v>
      </c>
    </row>
    <row r="13" spans="1:4" x14ac:dyDescent="0.3">
      <c r="A13" s="2" t="s">
        <v>15</v>
      </c>
      <c r="B13" s="3">
        <v>46853</v>
      </c>
      <c r="C13" s="3">
        <v>47566</v>
      </c>
      <c r="D13" s="3">
        <v>47438</v>
      </c>
    </row>
    <row r="14" spans="1:4" x14ac:dyDescent="0.3">
      <c r="A14" s="2" t="s">
        <v>16</v>
      </c>
      <c r="B14" s="3">
        <v>23580</v>
      </c>
      <c r="C14" s="3">
        <v>24216</v>
      </c>
      <c r="D14" s="3">
        <v>24356</v>
      </c>
    </row>
    <row r="15" spans="1:4" ht="15" thickBot="1" x14ac:dyDescent="0.35">
      <c r="A15" s="6" t="s">
        <v>17</v>
      </c>
      <c r="B15" s="7">
        <f>B13-B14</f>
        <v>23273</v>
      </c>
      <c r="C15" s="7">
        <f>C13-C14</f>
        <v>23350</v>
      </c>
      <c r="D15" s="7">
        <f>D13-D14</f>
        <v>23082</v>
      </c>
    </row>
    <row r="16" spans="1:4" x14ac:dyDescent="0.3">
      <c r="A16" s="8" t="s">
        <v>18</v>
      </c>
      <c r="B16" s="9">
        <f>B12+B15</f>
        <v>45310</v>
      </c>
      <c r="C16" s="9">
        <f>C12+C15</f>
        <v>42768</v>
      </c>
      <c r="D16" s="9">
        <f>D12+D15</f>
        <v>41934</v>
      </c>
    </row>
    <row r="17" spans="1:4" x14ac:dyDescent="0.3">
      <c r="A17" s="2"/>
    </row>
    <row r="18" spans="1:4" x14ac:dyDescent="0.3">
      <c r="A18" s="2" t="s">
        <v>19</v>
      </c>
      <c r="B18" s="3">
        <v>3305</v>
      </c>
      <c r="C18" s="3">
        <v>2631</v>
      </c>
      <c r="D18" s="3">
        <v>1884</v>
      </c>
    </row>
    <row r="19" spans="1:4" x14ac:dyDescent="0.3">
      <c r="A19" s="2"/>
    </row>
    <row r="20" spans="1:4" x14ac:dyDescent="0.3">
      <c r="A20" s="2" t="s">
        <v>20</v>
      </c>
      <c r="B20" s="3">
        <v>14093</v>
      </c>
      <c r="C20" s="3">
        <v>12469</v>
      </c>
      <c r="D20" s="3">
        <v>13118</v>
      </c>
    </row>
    <row r="21" spans="1:4" x14ac:dyDescent="0.3">
      <c r="A21" s="2" t="s">
        <v>21</v>
      </c>
      <c r="B21" s="3">
        <v>1302</v>
      </c>
      <c r="C21" s="3">
        <v>1309</v>
      </c>
      <c r="D21" s="3">
        <v>1211</v>
      </c>
    </row>
    <row r="22" spans="1:4" x14ac:dyDescent="0.3">
      <c r="A22" s="2" t="s">
        <v>22</v>
      </c>
      <c r="B22" s="3">
        <v>2578</v>
      </c>
      <c r="C22" s="3">
        <v>2516</v>
      </c>
      <c r="D22" s="3">
        <v>2421</v>
      </c>
    </row>
    <row r="23" spans="1:4" x14ac:dyDescent="0.3">
      <c r="A23" s="2" t="s">
        <v>23</v>
      </c>
      <c r="B23" s="3">
        <v>2839</v>
      </c>
      <c r="C23" s="3">
        <v>3007</v>
      </c>
      <c r="D23" s="3">
        <v>2548</v>
      </c>
    </row>
    <row r="24" spans="1:4" x14ac:dyDescent="0.3">
      <c r="A24" s="2" t="s">
        <v>24</v>
      </c>
      <c r="B24" s="3">
        <v>1304</v>
      </c>
      <c r="C24" s="3">
        <v>1335</v>
      </c>
      <c r="D24" s="3">
        <v>1160</v>
      </c>
    </row>
    <row r="25" spans="1:4" ht="15" thickBot="1" x14ac:dyDescent="0.35">
      <c r="A25" s="2" t="s">
        <v>25</v>
      </c>
      <c r="B25" s="3">
        <v>1481</v>
      </c>
      <c r="C25" s="3">
        <v>2126</v>
      </c>
      <c r="D25" s="3">
        <v>2299</v>
      </c>
    </row>
    <row r="26" spans="1:4" x14ac:dyDescent="0.3">
      <c r="A26" s="8" t="s">
        <v>26</v>
      </c>
      <c r="B26" s="10">
        <f>SUM(B20:B25)</f>
        <v>23597</v>
      </c>
      <c r="C26" s="10">
        <f>SUM(C20:C25)</f>
        <v>22762</v>
      </c>
      <c r="D26" s="10">
        <f>SUM(D20:D25)</f>
        <v>22757</v>
      </c>
    </row>
    <row r="27" spans="1:4" x14ac:dyDescent="0.3">
      <c r="A27" s="6" t="s">
        <v>27</v>
      </c>
      <c r="B27" s="11">
        <f>B16-B18-B26</f>
        <v>18408</v>
      </c>
      <c r="C27" s="11">
        <f>C16-C18-C26</f>
        <v>17375</v>
      </c>
      <c r="D27" s="11">
        <f>D16-D18-D26</f>
        <v>17293</v>
      </c>
    </row>
    <row r="28" spans="1:4" ht="15" thickBot="1" x14ac:dyDescent="0.35">
      <c r="A28" s="2" t="s">
        <v>28</v>
      </c>
      <c r="B28" s="3">
        <v>3765</v>
      </c>
      <c r="C28" s="3">
        <v>3370</v>
      </c>
      <c r="D28" s="3">
        <v>3874</v>
      </c>
    </row>
    <row r="29" spans="1:4" x14ac:dyDescent="0.3">
      <c r="A29" s="8" t="s">
        <v>29</v>
      </c>
      <c r="B29" s="9">
        <f>B27-B28</f>
        <v>14643</v>
      </c>
      <c r="C29" s="9">
        <f>C27-C28</f>
        <v>14005</v>
      </c>
      <c r="D29" s="9">
        <f>D27-D28</f>
        <v>13419</v>
      </c>
    </row>
    <row r="30" spans="1:4" x14ac:dyDescent="0.3">
      <c r="A30" s="2"/>
    </row>
    <row r="31" spans="1:4" x14ac:dyDescent="0.3">
      <c r="A31" s="2" t="s">
        <v>30</v>
      </c>
      <c r="B31" s="12">
        <v>5.08</v>
      </c>
      <c r="C31" s="12">
        <v>4.82</v>
      </c>
      <c r="D31" s="12">
        <v>4.45</v>
      </c>
    </row>
    <row r="32" spans="1:4" x14ac:dyDescent="0.3">
      <c r="A32" s="2" t="s">
        <v>31</v>
      </c>
      <c r="B32" s="12">
        <v>5.07</v>
      </c>
      <c r="C32" s="12">
        <v>4.8099999999999996</v>
      </c>
      <c r="D32" s="12">
        <v>4.4400000000000004</v>
      </c>
    </row>
    <row r="33" spans="1:4" x14ac:dyDescent="0.3">
      <c r="A33" s="2"/>
    </row>
    <row r="34" spans="1:4" x14ac:dyDescent="0.3">
      <c r="A34" s="2" t="s">
        <v>32</v>
      </c>
      <c r="B34" s="13">
        <v>0.18</v>
      </c>
      <c r="C34" s="13">
        <v>0.17</v>
      </c>
      <c r="D34" s="13">
        <v>0.17</v>
      </c>
    </row>
    <row r="35" spans="1:4" x14ac:dyDescent="0.3">
      <c r="A35" s="2" t="s">
        <v>33</v>
      </c>
      <c r="B35" s="13">
        <v>0.21</v>
      </c>
      <c r="C35" s="13">
        <v>0.21</v>
      </c>
      <c r="D35" s="13">
        <v>0.21</v>
      </c>
    </row>
    <row r="36" spans="1:4" x14ac:dyDescent="0.3">
      <c r="A36" s="2" t="s">
        <v>34</v>
      </c>
      <c r="B36" s="13">
        <v>1.4E-2</v>
      </c>
      <c r="C36" s="13">
        <v>1.35E-2</v>
      </c>
      <c r="D36" s="13">
        <v>1.3599999999999999E-2</v>
      </c>
    </row>
    <row r="37" spans="1:4" x14ac:dyDescent="0.3">
      <c r="A37" s="2" t="s">
        <v>35</v>
      </c>
      <c r="B37" s="13">
        <v>0.52</v>
      </c>
      <c r="C37" s="13">
        <v>0.53</v>
      </c>
      <c r="D37" s="13">
        <v>0.54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74D99-0FEC-4821-BC82-80BE978D3BC2}">
  <dimension ref="A1:D43"/>
  <sheetViews>
    <sheetView workbookViewId="0">
      <selection sqref="A1:D1"/>
    </sheetView>
  </sheetViews>
  <sheetFormatPr defaultRowHeight="14.4" x14ac:dyDescent="0.3"/>
  <cols>
    <col min="1" max="1" width="62.5546875" customWidth="1"/>
    <col min="2" max="2" width="19.44140625" customWidth="1"/>
    <col min="3" max="3" width="15" customWidth="1"/>
    <col min="4" max="4" width="25" customWidth="1"/>
  </cols>
  <sheetData>
    <row r="1" spans="1:4" ht="18" x14ac:dyDescent="0.35">
      <c r="A1" s="16" t="s">
        <v>36</v>
      </c>
      <c r="B1" s="17"/>
      <c r="C1" s="17"/>
      <c r="D1" s="17"/>
    </row>
    <row r="2" spans="1:4" ht="15" thickBot="1" x14ac:dyDescent="0.35">
      <c r="A2" s="1" t="s">
        <v>1</v>
      </c>
      <c r="B2" s="1" t="s">
        <v>37</v>
      </c>
      <c r="C2" s="1" t="s">
        <v>38</v>
      </c>
      <c r="D2" s="1" t="s">
        <v>39</v>
      </c>
    </row>
    <row r="3" spans="1:4" x14ac:dyDescent="0.3">
      <c r="A3" s="14" t="s">
        <v>40</v>
      </c>
      <c r="B3" s="15"/>
      <c r="C3" s="15"/>
      <c r="D3" s="15"/>
    </row>
    <row r="4" spans="1:4" x14ac:dyDescent="0.3">
      <c r="A4" s="2" t="s">
        <v>41</v>
      </c>
      <c r="B4" s="3">
        <v>22066</v>
      </c>
      <c r="C4" s="3">
        <v>23372</v>
      </c>
      <c r="D4" s="3">
        <v>22750</v>
      </c>
    </row>
    <row r="5" spans="1:4" x14ac:dyDescent="0.3">
      <c r="A5" s="2" t="s">
        <v>42</v>
      </c>
      <c r="B5" s="3">
        <v>403837</v>
      </c>
      <c r="C5" s="3">
        <v>445945</v>
      </c>
      <c r="D5" s="3">
        <v>539366</v>
      </c>
    </row>
    <row r="6" spans="1:4" x14ac:dyDescent="0.3">
      <c r="A6" s="2" t="s">
        <v>43</v>
      </c>
      <c r="B6" s="3">
        <v>429506</v>
      </c>
      <c r="C6" s="3">
        <v>295001</v>
      </c>
      <c r="D6" s="3">
        <v>330559</v>
      </c>
    </row>
    <row r="7" spans="1:4" x14ac:dyDescent="0.3">
      <c r="A7" s="2" t="s">
        <v>44</v>
      </c>
      <c r="B7" s="3">
        <v>238702</v>
      </c>
      <c r="C7" s="3">
        <v>219546</v>
      </c>
      <c r="D7" s="3">
        <v>198336</v>
      </c>
    </row>
    <row r="8" spans="1:4" x14ac:dyDescent="0.3">
      <c r="A8" s="14" t="s">
        <v>45</v>
      </c>
      <c r="B8" s="15"/>
      <c r="C8" s="15"/>
      <c r="D8" s="15"/>
    </row>
    <row r="9" spans="1:4" x14ac:dyDescent="0.3">
      <c r="A9" s="2" t="s">
        <v>46</v>
      </c>
      <c r="B9" s="3">
        <v>814664</v>
      </c>
      <c r="C9" s="3">
        <v>576817</v>
      </c>
      <c r="D9" s="3">
        <v>697788</v>
      </c>
    </row>
    <row r="10" spans="1:4" x14ac:dyDescent="0.3">
      <c r="A10" s="2" t="s">
        <v>47</v>
      </c>
      <c r="B10" s="3">
        <v>60539</v>
      </c>
      <c r="C10" s="3">
        <v>60967</v>
      </c>
      <c r="D10" s="3">
        <v>56621</v>
      </c>
    </row>
    <row r="11" spans="1:4" x14ac:dyDescent="0.3">
      <c r="A11" s="14" t="s">
        <v>48</v>
      </c>
      <c r="B11" s="15"/>
      <c r="C11" s="15"/>
      <c r="D11" s="15"/>
    </row>
    <row r="12" spans="1:4" x14ac:dyDescent="0.3">
      <c r="A12" s="2" t="s">
        <v>49</v>
      </c>
      <c r="B12" s="3">
        <v>399363</v>
      </c>
      <c r="C12" s="3">
        <v>406852</v>
      </c>
      <c r="D12" s="3">
        <v>236152</v>
      </c>
    </row>
    <row r="13" spans="1:4" x14ac:dyDescent="0.3">
      <c r="A13" s="2" t="s">
        <v>50</v>
      </c>
      <c r="B13" s="3">
        <v>265084</v>
      </c>
      <c r="C13" s="3">
        <v>274468</v>
      </c>
      <c r="D13" s="3">
        <v>334527</v>
      </c>
    </row>
    <row r="14" spans="1:4" x14ac:dyDescent="0.3">
      <c r="A14" s="6" t="s">
        <v>51</v>
      </c>
      <c r="B14" s="7">
        <f>SUM(B12:B13)</f>
        <v>664447</v>
      </c>
      <c r="C14" s="7">
        <f>SUM(C12:C13)</f>
        <v>681320</v>
      </c>
      <c r="D14" s="7">
        <f>SUM(D12:D13)</f>
        <v>570679</v>
      </c>
    </row>
    <row r="15" spans="1:4" x14ac:dyDescent="0.3">
      <c r="A15" s="2" t="s">
        <v>52</v>
      </c>
      <c r="B15" s="3">
        <v>1355695</v>
      </c>
      <c r="C15" s="3">
        <v>1347988</v>
      </c>
      <c r="D15" s="3">
        <v>1309616</v>
      </c>
    </row>
    <row r="16" spans="1:4" x14ac:dyDescent="0.3">
      <c r="A16" s="2" t="s">
        <v>53</v>
      </c>
      <c r="B16" s="3">
        <v>-25208</v>
      </c>
      <c r="C16" s="3">
        <v>-24345</v>
      </c>
      <c r="D16" s="3">
        <v>-22351</v>
      </c>
    </row>
    <row r="17" spans="1:4" x14ac:dyDescent="0.3">
      <c r="A17" s="6" t="s">
        <v>54</v>
      </c>
      <c r="B17" s="7">
        <f>B15+B16</f>
        <v>1330487</v>
      </c>
      <c r="C17" s="7">
        <f>C15+C16</f>
        <v>1323643</v>
      </c>
      <c r="D17" s="7">
        <f>D15+D16</f>
        <v>1287265</v>
      </c>
    </row>
    <row r="18" spans="1:4" x14ac:dyDescent="0.3">
      <c r="A18" s="2" t="s">
        <v>55</v>
      </c>
      <c r="B18" s="3">
        <v>117845</v>
      </c>
      <c r="C18" s="3">
        <v>101223</v>
      </c>
      <c r="D18" s="3">
        <v>129823</v>
      </c>
    </row>
    <row r="19" spans="1:4" x14ac:dyDescent="0.3">
      <c r="A19" s="2" t="s">
        <v>56</v>
      </c>
      <c r="B19" s="3">
        <v>32811</v>
      </c>
      <c r="C19" s="3">
        <v>32223</v>
      </c>
      <c r="D19" s="3">
        <v>30279</v>
      </c>
    </row>
    <row r="20" spans="1:4" x14ac:dyDescent="0.3">
      <c r="A20" s="2" t="s">
        <v>57</v>
      </c>
      <c r="B20" s="3">
        <v>64525</v>
      </c>
      <c r="C20" s="3">
        <v>64560</v>
      </c>
      <c r="D20" s="3">
        <v>64374</v>
      </c>
    </row>
    <row r="21" spans="1:4" ht="15" thickBot="1" x14ac:dyDescent="0.35">
      <c r="A21" s="2" t="s">
        <v>58</v>
      </c>
      <c r="B21" s="3">
        <v>178427</v>
      </c>
      <c r="C21" s="3">
        <v>178197</v>
      </c>
      <c r="D21" s="3">
        <v>162887</v>
      </c>
    </row>
    <row r="22" spans="1:4" x14ac:dyDescent="0.3">
      <c r="A22" s="8" t="s">
        <v>59</v>
      </c>
      <c r="B22" s="10">
        <f>SUM(B4:B21)</f>
        <v>6352790</v>
      </c>
      <c r="C22" s="10">
        <f>SUM(C4:C21)</f>
        <v>6007777</v>
      </c>
      <c r="D22" s="10">
        <f>SUM(D4:D21)</f>
        <v>5948671</v>
      </c>
    </row>
    <row r="23" spans="1:4" x14ac:dyDescent="0.3">
      <c r="A23" s="2"/>
    </row>
    <row r="24" spans="1:4" x14ac:dyDescent="0.3">
      <c r="A24" s="14" t="s">
        <v>60</v>
      </c>
      <c r="B24" s="15"/>
      <c r="C24" s="15"/>
      <c r="D24" s="15"/>
    </row>
    <row r="25" spans="1:4" x14ac:dyDescent="0.3">
      <c r="A25" s="2" t="s">
        <v>61</v>
      </c>
      <c r="B25" s="3">
        <v>2495877</v>
      </c>
      <c r="C25" s="3">
        <v>2406032</v>
      </c>
      <c r="D25" s="3">
        <v>2428409</v>
      </c>
    </row>
    <row r="26" spans="1:4" x14ac:dyDescent="0.3">
      <c r="A26" s="2" t="s">
        <v>62</v>
      </c>
      <c r="B26" s="3">
        <v>533046</v>
      </c>
      <c r="C26" s="3">
        <v>296835</v>
      </c>
      <c r="D26" s="3">
        <v>325670</v>
      </c>
    </row>
    <row r="27" spans="1:4" x14ac:dyDescent="0.3">
      <c r="A27" s="2" t="s">
        <v>63</v>
      </c>
      <c r="B27" s="3">
        <v>64980</v>
      </c>
      <c r="C27" s="3">
        <v>52893</v>
      </c>
      <c r="D27" s="3">
        <v>46268</v>
      </c>
    </row>
    <row r="28" spans="1:4" x14ac:dyDescent="0.3">
      <c r="A28" s="2" t="s">
        <v>64</v>
      </c>
      <c r="B28" s="3">
        <v>149871</v>
      </c>
      <c r="C28" s="3">
        <v>153222</v>
      </c>
      <c r="D28" s="3">
        <v>192324</v>
      </c>
    </row>
    <row r="29" spans="1:4" x14ac:dyDescent="0.3">
      <c r="A29" s="2" t="s">
        <v>65</v>
      </c>
      <c r="B29" s="3">
        <v>37232</v>
      </c>
      <c r="C29" s="3">
        <v>39661</v>
      </c>
      <c r="D29" s="3">
        <v>36003</v>
      </c>
    </row>
    <row r="30" spans="1:4" x14ac:dyDescent="0.3">
      <c r="A30" s="2" t="s">
        <v>66</v>
      </c>
      <c r="B30" s="3">
        <v>293538</v>
      </c>
      <c r="C30" s="3">
        <v>280672</v>
      </c>
      <c r="D30" s="3">
        <v>301469</v>
      </c>
    </row>
    <row r="31" spans="1:4" x14ac:dyDescent="0.3">
      <c r="A31" s="2" t="s">
        <v>67</v>
      </c>
      <c r="B31" s="3">
        <v>24668</v>
      </c>
      <c r="C31" s="3">
        <v>27323</v>
      </c>
      <c r="D31" s="3">
        <v>28075</v>
      </c>
    </row>
    <row r="32" spans="1:4" ht="15" thickBot="1" x14ac:dyDescent="0.35">
      <c r="A32" s="2" t="s">
        <v>68</v>
      </c>
      <c r="B32" s="3">
        <v>407224</v>
      </c>
      <c r="C32" s="3">
        <v>401418</v>
      </c>
      <c r="D32" s="3">
        <v>395872</v>
      </c>
    </row>
    <row r="33" spans="1:4" x14ac:dyDescent="0.3">
      <c r="A33" s="8" t="s">
        <v>69</v>
      </c>
      <c r="B33" s="10">
        <f>SUM(B25:B32)</f>
        <v>4006436</v>
      </c>
      <c r="C33" s="10">
        <f>SUM(C25:C32)</f>
        <v>3658056</v>
      </c>
      <c r="D33" s="10">
        <f>SUM(D25:D32)</f>
        <v>3754090</v>
      </c>
    </row>
    <row r="34" spans="1:4" x14ac:dyDescent="0.3">
      <c r="A34" s="2"/>
    </row>
    <row r="35" spans="1:4" x14ac:dyDescent="0.3">
      <c r="A35" s="14" t="s">
        <v>70</v>
      </c>
      <c r="B35" s="15"/>
      <c r="C35" s="15"/>
      <c r="D35" s="15"/>
    </row>
    <row r="36" spans="1:4" x14ac:dyDescent="0.3">
      <c r="A36" s="2" t="s">
        <v>71</v>
      </c>
      <c r="B36" s="3">
        <v>20045</v>
      </c>
      <c r="C36" s="3">
        <v>20050</v>
      </c>
      <c r="D36" s="3">
        <v>29900</v>
      </c>
    </row>
    <row r="37" spans="1:4" x14ac:dyDescent="0.3">
      <c r="A37" s="2" t="s">
        <v>72</v>
      </c>
      <c r="B37" s="3">
        <v>4105</v>
      </c>
      <c r="C37" s="3">
        <v>4105</v>
      </c>
      <c r="D37" s="3">
        <v>4105</v>
      </c>
    </row>
    <row r="38" spans="1:4" x14ac:dyDescent="0.3">
      <c r="A38" s="2" t="s">
        <v>73</v>
      </c>
      <c r="B38" s="3">
        <v>90223</v>
      </c>
      <c r="C38" s="3">
        <v>90911</v>
      </c>
      <c r="D38" s="3">
        <v>89903</v>
      </c>
    </row>
    <row r="39" spans="1:4" x14ac:dyDescent="0.3">
      <c r="A39" s="2" t="s">
        <v>74</v>
      </c>
      <c r="B39" s="3">
        <v>386616</v>
      </c>
      <c r="C39" s="3">
        <v>376166</v>
      </c>
      <c r="D39" s="3">
        <v>342414</v>
      </c>
    </row>
    <row r="40" spans="1:4" x14ac:dyDescent="0.3">
      <c r="A40" s="2" t="s">
        <v>75</v>
      </c>
      <c r="B40" s="3">
        <v>-9111</v>
      </c>
      <c r="C40" s="3">
        <v>-12456</v>
      </c>
      <c r="D40" s="3">
        <v>-11639</v>
      </c>
    </row>
    <row r="41" spans="1:4" ht="15" thickBot="1" x14ac:dyDescent="0.35">
      <c r="A41" s="2" t="s">
        <v>76</v>
      </c>
      <c r="B41" s="3">
        <v>-140458</v>
      </c>
      <c r="C41" s="3">
        <v>-134018</v>
      </c>
      <c r="D41" s="3">
        <v>-118046</v>
      </c>
    </row>
    <row r="42" spans="1:4" ht="15" thickBot="1" x14ac:dyDescent="0.35">
      <c r="A42" s="8" t="s">
        <v>77</v>
      </c>
      <c r="B42" s="10">
        <f>SUM(B36:B41)</f>
        <v>351420</v>
      </c>
      <c r="C42" s="10">
        <f>SUM(C36:C41)</f>
        <v>344758</v>
      </c>
      <c r="D42" s="10">
        <f>SUM(D36:D41)</f>
        <v>336637</v>
      </c>
    </row>
    <row r="43" spans="1:4" x14ac:dyDescent="0.3">
      <c r="A43" s="8" t="s">
        <v>78</v>
      </c>
      <c r="B43" s="10">
        <f>B33+B42</f>
        <v>4357856</v>
      </c>
      <c r="C43" s="10">
        <f>C33+C42</f>
        <v>4002814</v>
      </c>
      <c r="D43" s="10">
        <f>D33+D42</f>
        <v>4090727</v>
      </c>
    </row>
  </sheetData>
  <mergeCells count="6">
    <mergeCell ref="A35:D35"/>
    <mergeCell ref="A1:D1"/>
    <mergeCell ref="A3:D3"/>
    <mergeCell ref="A8:D8"/>
    <mergeCell ref="A11:D11"/>
    <mergeCell ref="A24:D2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BCEA-D22F-43E3-964E-E56AE88B9703}">
  <dimension ref="A1:D49"/>
  <sheetViews>
    <sheetView tabSelected="1" workbookViewId="0">
      <selection activeCell="I6" sqref="I6"/>
    </sheetView>
  </sheetViews>
  <sheetFormatPr defaultRowHeight="14.4" x14ac:dyDescent="0.3"/>
  <cols>
    <col min="1" max="1" width="60" customWidth="1"/>
    <col min="2" max="2" width="33.33203125" customWidth="1"/>
    <col min="3" max="3" width="22.109375" customWidth="1"/>
    <col min="4" max="4" width="29.77734375" customWidth="1"/>
  </cols>
  <sheetData>
    <row r="1" spans="1:4" ht="15" thickBot="1" x14ac:dyDescent="0.35">
      <c r="A1" s="18" t="s">
        <v>1</v>
      </c>
      <c r="B1" s="18" t="s">
        <v>79</v>
      </c>
      <c r="C1" s="18" t="s">
        <v>80</v>
      </c>
      <c r="D1" s="18" t="s">
        <v>81</v>
      </c>
    </row>
    <row r="2" spans="1:4" x14ac:dyDescent="0.3">
      <c r="A2" s="14" t="s">
        <v>82</v>
      </c>
      <c r="B2" s="15"/>
      <c r="C2" s="15"/>
      <c r="D2" s="15"/>
    </row>
    <row r="3" spans="1:4" x14ac:dyDescent="0.3">
      <c r="A3" s="2" t="s">
        <v>29</v>
      </c>
      <c r="B3" s="3">
        <v>58471</v>
      </c>
      <c r="C3" s="3">
        <v>49552</v>
      </c>
      <c r="D3" s="3">
        <v>37676</v>
      </c>
    </row>
    <row r="4" spans="1:4" x14ac:dyDescent="0.3">
      <c r="A4" s="2" t="s">
        <v>19</v>
      </c>
      <c r="B4" s="3">
        <v>10678</v>
      </c>
      <c r="C4" s="3">
        <v>9320</v>
      </c>
      <c r="D4" s="3">
        <v>6389</v>
      </c>
    </row>
    <row r="5" spans="1:4" x14ac:dyDescent="0.3">
      <c r="A5" s="2" t="s">
        <v>83</v>
      </c>
      <c r="B5" s="3">
        <v>7938</v>
      </c>
      <c r="C5" s="3">
        <v>7512</v>
      </c>
      <c r="D5" s="3">
        <v>7051</v>
      </c>
    </row>
    <row r="6" spans="1:4" x14ac:dyDescent="0.3">
      <c r="A6" s="2" t="s">
        <v>84</v>
      </c>
      <c r="B6" s="3">
        <v>2004</v>
      </c>
      <c r="C6" s="3">
        <v>-4534</v>
      </c>
      <c r="D6" s="3">
        <v>-2738</v>
      </c>
    </row>
    <row r="7" spans="1:4" x14ac:dyDescent="0.3">
      <c r="A7" s="2" t="s">
        <v>85</v>
      </c>
      <c r="B7" s="3">
        <v>-103</v>
      </c>
      <c r="C7" s="3">
        <v>-2775</v>
      </c>
      <c r="D7" s="3">
        <v>0</v>
      </c>
    </row>
    <row r="8" spans="1:4" x14ac:dyDescent="0.3">
      <c r="A8" s="2" t="s">
        <v>86</v>
      </c>
      <c r="B8" s="3">
        <v>-7990</v>
      </c>
      <c r="C8" s="3">
        <v>0</v>
      </c>
      <c r="D8" s="3">
        <v>0</v>
      </c>
    </row>
    <row r="9" spans="1:4" x14ac:dyDescent="0.3">
      <c r="A9" s="2" t="s">
        <v>87</v>
      </c>
      <c r="B9" s="3">
        <v>1985</v>
      </c>
      <c r="C9" s="3">
        <v>4301</v>
      </c>
      <c r="D9" s="3">
        <v>5174</v>
      </c>
    </row>
    <row r="10" spans="1:4" x14ac:dyDescent="0.3">
      <c r="A10" s="2" t="s">
        <v>88</v>
      </c>
      <c r="B10" s="3">
        <v>-212238</v>
      </c>
      <c r="C10" s="3">
        <v>-115245</v>
      </c>
      <c r="D10" s="3">
        <v>-149167</v>
      </c>
    </row>
    <row r="11" spans="1:4" x14ac:dyDescent="0.3">
      <c r="A11" s="2" t="s">
        <v>89</v>
      </c>
      <c r="B11" s="3">
        <v>205303</v>
      </c>
      <c r="C11" s="3">
        <v>116430</v>
      </c>
      <c r="D11" s="3">
        <v>167709</v>
      </c>
    </row>
    <row r="12" spans="1:4" x14ac:dyDescent="0.3">
      <c r="A12" s="2" t="s">
        <v>45</v>
      </c>
      <c r="B12" s="3">
        <v>-95729</v>
      </c>
      <c r="C12" s="3">
        <v>-74091</v>
      </c>
      <c r="D12" s="3">
        <v>-31449</v>
      </c>
    </row>
    <row r="13" spans="1:4" x14ac:dyDescent="0.3">
      <c r="A13" s="2" t="s">
        <v>44</v>
      </c>
      <c r="B13" s="3">
        <v>-18762</v>
      </c>
      <c r="C13" s="3">
        <v>-14902</v>
      </c>
      <c r="D13" s="3">
        <v>20203</v>
      </c>
    </row>
    <row r="14" spans="1:4" x14ac:dyDescent="0.3">
      <c r="A14" s="2" t="s">
        <v>55</v>
      </c>
      <c r="B14" s="3">
        <v>5735</v>
      </c>
      <c r="C14" s="3">
        <v>19928</v>
      </c>
      <c r="D14" s="3">
        <v>-22970</v>
      </c>
    </row>
    <row r="15" spans="1:4" x14ac:dyDescent="0.3">
      <c r="A15" s="2" t="s">
        <v>58</v>
      </c>
      <c r="B15" s="3">
        <v>-7650</v>
      </c>
      <c r="C15" s="3">
        <v>32970</v>
      </c>
      <c r="D15" s="3">
        <v>-2882</v>
      </c>
    </row>
    <row r="16" spans="1:4" x14ac:dyDescent="0.3">
      <c r="A16" s="2" t="s">
        <v>90</v>
      </c>
      <c r="B16" s="3">
        <v>2276</v>
      </c>
      <c r="C16" s="3">
        <v>5315</v>
      </c>
      <c r="D16" s="3">
        <v>11170</v>
      </c>
    </row>
    <row r="17" spans="1:4" x14ac:dyDescent="0.3">
      <c r="A17" s="2" t="s">
        <v>66</v>
      </c>
      <c r="B17" s="3">
        <v>-90</v>
      </c>
      <c r="C17" s="3">
        <v>-25388</v>
      </c>
      <c r="D17" s="3">
        <v>58614</v>
      </c>
    </row>
    <row r="18" spans="1:4" ht="15" thickBot="1" x14ac:dyDescent="0.35">
      <c r="A18" s="2" t="s">
        <v>91</v>
      </c>
      <c r="B18" s="3">
        <v>6160</v>
      </c>
      <c r="C18" s="3">
        <v>4581</v>
      </c>
      <c r="D18" s="3">
        <v>2339</v>
      </c>
    </row>
    <row r="19" spans="1:4" x14ac:dyDescent="0.3">
      <c r="A19" s="8" t="s">
        <v>92</v>
      </c>
      <c r="B19" s="10">
        <f>SUM(B3:B18)</f>
        <v>-42012</v>
      </c>
      <c r="C19" s="10">
        <f>SUM(C3:C18)</f>
        <v>12974</v>
      </c>
      <c r="D19" s="10">
        <f>SUM(D3:D18)</f>
        <v>107119</v>
      </c>
    </row>
    <row r="20" spans="1:4" x14ac:dyDescent="0.3">
      <c r="A20" s="2"/>
    </row>
    <row r="21" spans="1:4" x14ac:dyDescent="0.3">
      <c r="A21" s="14" t="s">
        <v>93</v>
      </c>
      <c r="B21" s="15"/>
      <c r="C21" s="15"/>
      <c r="D21" s="15"/>
    </row>
    <row r="22" spans="1:4" x14ac:dyDescent="0.3">
      <c r="A22" s="2" t="s">
        <v>43</v>
      </c>
      <c r="B22" s="3">
        <v>-18706</v>
      </c>
      <c r="C22" s="3">
        <v>39740</v>
      </c>
      <c r="D22" s="3">
        <v>-54278</v>
      </c>
    </row>
    <row r="23" spans="1:4" x14ac:dyDescent="0.3">
      <c r="A23" s="2" t="s">
        <v>94</v>
      </c>
      <c r="B23" s="3">
        <v>99363</v>
      </c>
      <c r="C23" s="3">
        <v>53056</v>
      </c>
      <c r="D23" s="3">
        <v>48626</v>
      </c>
    </row>
    <row r="24" spans="1:4" x14ac:dyDescent="0.3">
      <c r="A24" s="2" t="s">
        <v>95</v>
      </c>
      <c r="B24" s="3">
        <v>-4709</v>
      </c>
      <c r="C24" s="3">
        <v>-4141</v>
      </c>
      <c r="D24" s="3">
        <v>-33676</v>
      </c>
    </row>
    <row r="25" spans="1:4" x14ac:dyDescent="0.3">
      <c r="A25" s="2" t="s">
        <v>96</v>
      </c>
      <c r="B25" s="3">
        <v>38499</v>
      </c>
      <c r="C25" s="3">
        <v>53744</v>
      </c>
      <c r="D25" s="3">
        <v>39159</v>
      </c>
    </row>
    <row r="26" spans="1:4" x14ac:dyDescent="0.3">
      <c r="A26" s="2" t="s">
        <v>97</v>
      </c>
      <c r="B26" s="3">
        <v>104625</v>
      </c>
      <c r="C26" s="3">
        <v>108434</v>
      </c>
      <c r="D26" s="3">
        <v>84616</v>
      </c>
    </row>
    <row r="27" spans="1:4" x14ac:dyDescent="0.3">
      <c r="A27" s="2" t="s">
        <v>98</v>
      </c>
      <c r="B27" s="3">
        <v>-352712</v>
      </c>
      <c r="C27" s="3">
        <v>-115499</v>
      </c>
      <c r="D27" s="3">
        <v>-126258</v>
      </c>
    </row>
    <row r="28" spans="1:4" x14ac:dyDescent="0.3">
      <c r="A28" s="2" t="s">
        <v>99</v>
      </c>
      <c r="B28" s="3">
        <v>57921</v>
      </c>
      <c r="C28" s="3">
        <v>47312</v>
      </c>
      <c r="D28" s="3">
        <v>44892</v>
      </c>
    </row>
    <row r="29" spans="1:4" x14ac:dyDescent="0.3">
      <c r="A29" s="2" t="s">
        <v>100</v>
      </c>
      <c r="B29" s="3">
        <v>-83176</v>
      </c>
      <c r="C29" s="3">
        <v>-88343</v>
      </c>
      <c r="D29" s="3">
        <v>-128968</v>
      </c>
    </row>
    <row r="30" spans="1:4" x14ac:dyDescent="0.3">
      <c r="A30" s="2" t="s">
        <v>101</v>
      </c>
      <c r="B30" s="3">
        <v>-2362</v>
      </c>
      <c r="C30" s="3">
        <v>-9920</v>
      </c>
      <c r="D30" s="3">
        <v>0</v>
      </c>
    </row>
    <row r="31" spans="1:4" ht="15" thickBot="1" x14ac:dyDescent="0.35">
      <c r="A31" s="2" t="s">
        <v>102</v>
      </c>
      <c r="B31" s="3">
        <v>-2146</v>
      </c>
      <c r="C31" s="3">
        <v>-16740</v>
      </c>
      <c r="D31" s="3">
        <v>-11932</v>
      </c>
    </row>
    <row r="32" spans="1:4" x14ac:dyDescent="0.3">
      <c r="A32" s="8" t="s">
        <v>103</v>
      </c>
      <c r="B32" s="10">
        <f>SUM(B22:B31)</f>
        <v>-163403</v>
      </c>
      <c r="C32" s="10">
        <f>SUM(C22:C31)</f>
        <v>67643</v>
      </c>
      <c r="D32" s="10">
        <f>SUM(D22:D31)</f>
        <v>-137819</v>
      </c>
    </row>
    <row r="33" spans="1:4" x14ac:dyDescent="0.3">
      <c r="A33" s="2"/>
    </row>
    <row r="34" spans="1:4" x14ac:dyDescent="0.3">
      <c r="A34" s="14" t="s">
        <v>104</v>
      </c>
      <c r="B34" s="15"/>
      <c r="C34" s="15"/>
      <c r="D34" s="15"/>
    </row>
    <row r="35" spans="1:4" x14ac:dyDescent="0.3">
      <c r="A35" s="2" t="s">
        <v>61</v>
      </c>
      <c r="B35" s="3">
        <v>3299</v>
      </c>
      <c r="C35" s="3">
        <v>-32196</v>
      </c>
      <c r="D35" s="3">
        <v>-136895</v>
      </c>
    </row>
    <row r="36" spans="1:4" x14ac:dyDescent="0.3">
      <c r="A36" s="2" t="s">
        <v>62</v>
      </c>
      <c r="B36" s="3">
        <v>80288</v>
      </c>
      <c r="C36" s="3">
        <v>13801</v>
      </c>
      <c r="D36" s="3">
        <v>8455</v>
      </c>
    </row>
    <row r="37" spans="1:4" x14ac:dyDescent="0.3">
      <c r="A37" s="2" t="s">
        <v>63</v>
      </c>
      <c r="B37" s="3">
        <v>7439</v>
      </c>
      <c r="C37" s="3">
        <v>-1934</v>
      </c>
      <c r="D37" s="3">
        <v>-8984</v>
      </c>
    </row>
    <row r="38" spans="1:4" x14ac:dyDescent="0.3">
      <c r="A38" s="2" t="s">
        <v>67</v>
      </c>
      <c r="B38" s="3">
        <v>1543</v>
      </c>
      <c r="C38" s="3">
        <v>9029</v>
      </c>
      <c r="D38" s="3">
        <v>2205</v>
      </c>
    </row>
    <row r="39" spans="1:4" x14ac:dyDescent="0.3">
      <c r="A39" s="2" t="s">
        <v>105</v>
      </c>
      <c r="B39" s="3">
        <v>109915</v>
      </c>
      <c r="C39" s="3">
        <v>75417</v>
      </c>
      <c r="D39" s="3">
        <v>78442</v>
      </c>
    </row>
    <row r="40" spans="1:4" x14ac:dyDescent="0.3">
      <c r="A40" s="2" t="s">
        <v>106</v>
      </c>
      <c r="B40" s="3">
        <v>-96605</v>
      </c>
      <c r="C40" s="3">
        <v>-64880</v>
      </c>
      <c r="D40" s="3">
        <v>-45556</v>
      </c>
    </row>
    <row r="41" spans="1:4" x14ac:dyDescent="0.3">
      <c r="A41" s="2" t="s">
        <v>107</v>
      </c>
      <c r="B41" s="3">
        <v>2500</v>
      </c>
      <c r="C41" s="3">
        <v>0</v>
      </c>
      <c r="D41" s="3">
        <v>0</v>
      </c>
    </row>
    <row r="42" spans="1:4" x14ac:dyDescent="0.3">
      <c r="A42" s="2" t="s">
        <v>108</v>
      </c>
      <c r="B42" s="3">
        <v>-9850</v>
      </c>
      <c r="C42" s="3">
        <v>0</v>
      </c>
      <c r="D42" s="3">
        <v>-7434</v>
      </c>
    </row>
    <row r="43" spans="1:4" x14ac:dyDescent="0.3">
      <c r="A43" s="2" t="s">
        <v>109</v>
      </c>
      <c r="B43" s="3">
        <v>-18830</v>
      </c>
      <c r="C43" s="3">
        <v>-9824</v>
      </c>
      <c r="D43" s="3">
        <v>-3162</v>
      </c>
    </row>
    <row r="44" spans="1:4" x14ac:dyDescent="0.3">
      <c r="A44" s="2" t="s">
        <v>110</v>
      </c>
      <c r="B44" s="3">
        <v>-14783</v>
      </c>
      <c r="C44" s="3">
        <v>-13463</v>
      </c>
      <c r="D44" s="3">
        <v>-13562</v>
      </c>
    </row>
    <row r="45" spans="1:4" ht="15" thickBot="1" x14ac:dyDescent="0.35">
      <c r="A45" s="2" t="s">
        <v>111</v>
      </c>
      <c r="B45" s="3">
        <v>-1469</v>
      </c>
      <c r="C45" s="3">
        <v>-1521</v>
      </c>
      <c r="D45" s="3">
        <v>234</v>
      </c>
    </row>
    <row r="46" spans="1:4" x14ac:dyDescent="0.3">
      <c r="A46" s="8" t="s">
        <v>112</v>
      </c>
      <c r="B46" s="10">
        <f>SUM(B35:B45)</f>
        <v>63447</v>
      </c>
      <c r="C46" s="10">
        <f>SUM(C35:C45)</f>
        <v>-25571</v>
      </c>
      <c r="D46" s="10">
        <f>SUM(D35:D45)</f>
        <v>-126257</v>
      </c>
    </row>
    <row r="47" spans="1:4" x14ac:dyDescent="0.3">
      <c r="A47" s="2"/>
    </row>
    <row r="48" spans="1:4" ht="15" thickBot="1" x14ac:dyDescent="0.35">
      <c r="A48" s="2" t="s">
        <v>113</v>
      </c>
      <c r="B48" s="3">
        <v>-12866</v>
      </c>
      <c r="C48" s="3">
        <v>1871</v>
      </c>
      <c r="D48" s="3">
        <v>-16643</v>
      </c>
    </row>
    <row r="49" spans="1:4" x14ac:dyDescent="0.3">
      <c r="A49" s="8" t="s">
        <v>114</v>
      </c>
      <c r="B49" s="10">
        <v>-154834</v>
      </c>
      <c r="C49" s="10">
        <v>56917</v>
      </c>
      <c r="D49" s="10">
        <v>-173600</v>
      </c>
    </row>
  </sheetData>
  <mergeCells count="3">
    <mergeCell ref="A2:D2"/>
    <mergeCell ref="A21:D21"/>
    <mergeCell ref="A34:D3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</dc:creator>
  <cp:lastModifiedBy>Prince Girdharbhai Godhani</cp:lastModifiedBy>
  <dcterms:created xsi:type="dcterms:W3CDTF">2015-06-05T18:17:20Z</dcterms:created>
  <dcterms:modified xsi:type="dcterms:W3CDTF">2026-04-16T03:40:05Z</dcterms:modified>
</cp:coreProperties>
</file>